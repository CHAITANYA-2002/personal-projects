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STUDY MATERIAL\IMARTICUS\imarticus projects\excel\"/>
    </mc:Choice>
  </mc:AlternateContent>
  <xr:revisionPtr revIDLastSave="0" documentId="13_ncr:1_{20D7A9A5-170F-4698-A100-D6F237BF1FAB}" xr6:coauthVersionLast="47" xr6:coauthVersionMax="47" xr10:uidLastSave="{00000000-0000-0000-0000-000000000000}"/>
  <bookViews>
    <workbookView xWindow="28680" yWindow="-120" windowWidth="38640" windowHeight="21120" activeTab="1" xr2:uid="{00000000-000D-0000-FFFF-FFFF00000000}"/>
  </bookViews>
  <sheets>
    <sheet name="Data" sheetId="1" r:id="rId1"/>
    <sheet name="Pivots" sheetId="12" r:id="rId2"/>
    <sheet name="Dashboard" sheetId="13" r:id="rId3"/>
  </sheets>
  <definedNames>
    <definedName name="_xlnm._FilterDatabase" localSheetId="0" hidden="1">Data!$A$1:$K$701</definedName>
    <definedName name="_xlnm.Print_Area" localSheetId="2">Dashboard!$A$1:$CN$48</definedName>
    <definedName name="Slicer_City">#N/A</definedName>
    <definedName name="Slicer_Funding_Stage">#N/A</definedName>
    <definedName name="Slicer_Funding_Year">#N/A</definedName>
    <definedName name="Slicer_Secto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V42" i="13" l="1"/>
  <c r="BE42" i="13"/>
  <c r="AN42" i="13"/>
  <c r="W42" i="13"/>
  <c r="F42" i="13"/>
</calcChain>
</file>

<file path=xl/sharedStrings.xml><?xml version="1.0" encoding="utf-8"?>
<sst xmlns="http://schemas.openxmlformats.org/spreadsheetml/2006/main" count="3604" uniqueCount="784">
  <si>
    <t>Company</t>
  </si>
  <si>
    <t>Sector</t>
  </si>
  <si>
    <t>City</t>
  </si>
  <si>
    <t>Funding Stage</t>
  </si>
  <si>
    <t>Funding Amount ($M)</t>
  </si>
  <si>
    <t>Funding Date</t>
  </si>
  <si>
    <t>Funding Year</t>
  </si>
  <si>
    <t>Lead Investor</t>
  </si>
  <si>
    <t>Founded Year</t>
  </si>
  <si>
    <t>Valuation ($M)</t>
  </si>
  <si>
    <t>Employees</t>
  </si>
  <si>
    <t>MedBox</t>
  </si>
  <si>
    <t>AI/ML</t>
  </si>
  <si>
    <t>Mumbai</t>
  </si>
  <si>
    <t>Series A</t>
  </si>
  <si>
    <t>Chiratae Ventures</t>
  </si>
  <si>
    <t>LumenLabs</t>
  </si>
  <si>
    <t>Healthtech</t>
  </si>
  <si>
    <t>Bengaluru</t>
  </si>
  <si>
    <t>Series C</t>
  </si>
  <si>
    <t>Accel</t>
  </si>
  <si>
    <t>QuickBox</t>
  </si>
  <si>
    <t>Foodtech</t>
  </si>
  <si>
    <t>Tiger Global</t>
  </si>
  <si>
    <t>Astraly</t>
  </si>
  <si>
    <t>Pune</t>
  </si>
  <si>
    <t>Series B</t>
  </si>
  <si>
    <t>Sequoia Capital</t>
  </si>
  <si>
    <t>TerraLearn</t>
  </si>
  <si>
    <t>SaaS</t>
  </si>
  <si>
    <t>Jaipur</t>
  </si>
  <si>
    <t>Seed</t>
  </si>
  <si>
    <t>OrbitLearn</t>
  </si>
  <si>
    <t>Fintech</t>
  </si>
  <si>
    <t>Delhi NCR</t>
  </si>
  <si>
    <t>Series D+</t>
  </si>
  <si>
    <t>FinCare</t>
  </si>
  <si>
    <t>SoftBank</t>
  </si>
  <si>
    <t>BoldBox</t>
  </si>
  <si>
    <t>Agritech</t>
  </si>
  <si>
    <t>Kolkata</t>
  </si>
  <si>
    <t>NovaHub</t>
  </si>
  <si>
    <t>E-commerce</t>
  </si>
  <si>
    <t>Y Combinator</t>
  </si>
  <si>
    <t>VityFlow</t>
  </si>
  <si>
    <t>Lightspeed</t>
  </si>
  <si>
    <t>SnapTech</t>
  </si>
  <si>
    <t>Edtech</t>
  </si>
  <si>
    <t>Chennai</t>
  </si>
  <si>
    <t>FinKart</t>
  </si>
  <si>
    <t>Nexus Venture</t>
  </si>
  <si>
    <t>VoltStack</t>
  </si>
  <si>
    <t>FreshWorks</t>
  </si>
  <si>
    <t>Blume Ventures</t>
  </si>
  <si>
    <t>LoopKart</t>
  </si>
  <si>
    <t>Elevation Capital</t>
  </si>
  <si>
    <t>PeakBee</t>
  </si>
  <si>
    <t>LumenBee</t>
  </si>
  <si>
    <t>Matrix Partners</t>
  </si>
  <si>
    <t>ZipWave</t>
  </si>
  <si>
    <t>Info Edge</t>
  </si>
  <si>
    <t>VoltWave</t>
  </si>
  <si>
    <t>PrimeVerse</t>
  </si>
  <si>
    <t>Hyderabad</t>
  </si>
  <si>
    <t>FluxMind</t>
  </si>
  <si>
    <t>Peak XV</t>
  </si>
  <si>
    <t>KiteKart</t>
  </si>
  <si>
    <t>Cleantech</t>
  </si>
  <si>
    <t>NimbusCare</t>
  </si>
  <si>
    <t>HyperPay</t>
  </si>
  <si>
    <t>BoldSphere</t>
  </si>
  <si>
    <t>Ahmedabad</t>
  </si>
  <si>
    <t>GreenLabs</t>
  </si>
  <si>
    <t>KiteLearn</t>
  </si>
  <si>
    <t>ZipWallet</t>
  </si>
  <si>
    <t>MetaTech</t>
  </si>
  <si>
    <t>Logistics</t>
  </si>
  <si>
    <t>LoopNest</t>
  </si>
  <si>
    <t>AstraGenix</t>
  </si>
  <si>
    <t>PixelGenix</t>
  </si>
  <si>
    <t>NovaFarm</t>
  </si>
  <si>
    <t>CredCare</t>
  </si>
  <si>
    <t>CredKart</t>
  </si>
  <si>
    <t>Zenily</t>
  </si>
  <si>
    <t>CloudNest</t>
  </si>
  <si>
    <t>QuickVerse</t>
  </si>
  <si>
    <t>EduWorks</t>
  </si>
  <si>
    <t>CredYard</t>
  </si>
  <si>
    <t>PixelFlow</t>
  </si>
  <si>
    <t>BrightLearn</t>
  </si>
  <si>
    <t>FreshYard</t>
  </si>
  <si>
    <t>RapidLearn</t>
  </si>
  <si>
    <t>GreenStack</t>
  </si>
  <si>
    <t>OrbitWallet</t>
  </si>
  <si>
    <t>LoopMind</t>
  </si>
  <si>
    <t>EduLoop</t>
  </si>
  <si>
    <t>NextKart</t>
  </si>
  <si>
    <t>FreshFarm</t>
  </si>
  <si>
    <t>VoltFleet</t>
  </si>
  <si>
    <t>LumenKart</t>
  </si>
  <si>
    <t>Mobility</t>
  </si>
  <si>
    <t>BrightTech</t>
  </si>
  <si>
    <t>NimbusHub</t>
  </si>
  <si>
    <t>BoldYard</t>
  </si>
  <si>
    <t>Gaming</t>
  </si>
  <si>
    <t>PeakLoop</t>
  </si>
  <si>
    <t>CartPay</t>
  </si>
  <si>
    <t>3one4 Capital</t>
  </si>
  <si>
    <t>PrimeGenix</t>
  </si>
  <si>
    <t>VertexTech</t>
  </si>
  <si>
    <t>PrimeLoop</t>
  </si>
  <si>
    <t>EchoGenix</t>
  </si>
  <si>
    <t>KiteVerse</t>
  </si>
  <si>
    <t>BoldTech</t>
  </si>
  <si>
    <t>CartNest</t>
  </si>
  <si>
    <t>SageLabs</t>
  </si>
  <si>
    <t>AstraSphere</t>
  </si>
  <si>
    <t>FinLabs</t>
  </si>
  <si>
    <t>PrimeGrid</t>
  </si>
  <si>
    <t>FreshFleet</t>
  </si>
  <si>
    <t>UrbanLoop</t>
  </si>
  <si>
    <t>NovaSphere</t>
  </si>
  <si>
    <t>AstraGrid</t>
  </si>
  <si>
    <t>Kalaari Capital</t>
  </si>
  <si>
    <t>MetaFleet</t>
  </si>
  <si>
    <t>CloudHub</t>
  </si>
  <si>
    <t>HyperGenix</t>
  </si>
  <si>
    <t>TerraWorks</t>
  </si>
  <si>
    <t>SagePay</t>
  </si>
  <si>
    <t>ByteLabs</t>
  </si>
  <si>
    <t>FluxWorks</t>
  </si>
  <si>
    <t>SageBox</t>
  </si>
  <si>
    <t>FreshVerse</t>
  </si>
  <si>
    <t>OrbitBot</t>
  </si>
  <si>
    <t>VityWave</t>
  </si>
  <si>
    <t>MedKart</t>
  </si>
  <si>
    <t>Peakly</t>
  </si>
  <si>
    <t>LoopFarm</t>
  </si>
  <si>
    <t>SageHub</t>
  </si>
  <si>
    <t>NextBox</t>
  </si>
  <si>
    <t>PixelFleet</t>
  </si>
  <si>
    <t>SnapYard</t>
  </si>
  <si>
    <t>MedBase</t>
  </si>
  <si>
    <t>TerraYard</t>
  </si>
  <si>
    <t>Quickly</t>
  </si>
  <si>
    <t>BoldKart</t>
  </si>
  <si>
    <t>EchoWave</t>
  </si>
  <si>
    <t>BrightMind</t>
  </si>
  <si>
    <t>ZipBee</t>
  </si>
  <si>
    <t>EchoNest</t>
  </si>
  <si>
    <t>EduBase</t>
  </si>
  <si>
    <t>PeakBox</t>
  </si>
  <si>
    <t>HyperWorks</t>
  </si>
  <si>
    <t>PixelWorks</t>
  </si>
  <si>
    <t>Hyperly</t>
  </si>
  <si>
    <t>TerraFlow</t>
  </si>
  <si>
    <t>NimbusKart</t>
  </si>
  <si>
    <t>HyperWallet</t>
  </si>
  <si>
    <t>QuickWorks</t>
  </si>
  <si>
    <t>CredMind</t>
  </si>
  <si>
    <t>VertexLoop</t>
  </si>
  <si>
    <t>QuickMind</t>
  </si>
  <si>
    <t>RapidFlow</t>
  </si>
  <si>
    <t>VityVerse</t>
  </si>
  <si>
    <t>PixelStack</t>
  </si>
  <si>
    <t>HyperLearn</t>
  </si>
  <si>
    <t>UrbanLabs</t>
  </si>
  <si>
    <t>FreshWallet</t>
  </si>
  <si>
    <t>QuickBee</t>
  </si>
  <si>
    <t>UrbanVerse</t>
  </si>
  <si>
    <t>OrbitFarm</t>
  </si>
  <si>
    <t>PrimeKart</t>
  </si>
  <si>
    <t>NimbusGrid</t>
  </si>
  <si>
    <t>AstraHub</t>
  </si>
  <si>
    <t>KiteSphere</t>
  </si>
  <si>
    <t>NextFarm</t>
  </si>
  <si>
    <t>SageCare</t>
  </si>
  <si>
    <t>SmartGrid</t>
  </si>
  <si>
    <t>PeakNest</t>
  </si>
  <si>
    <t>RapidBot</t>
  </si>
  <si>
    <t>MetaLabs</t>
  </si>
  <si>
    <t>RapidHub</t>
  </si>
  <si>
    <t>ZeniBox</t>
  </si>
  <si>
    <t>FluxYard</t>
  </si>
  <si>
    <t>KitePay</t>
  </si>
  <si>
    <t>VertexFlow</t>
  </si>
  <si>
    <t>AstraLoop</t>
  </si>
  <si>
    <t>SnapLoop</t>
  </si>
  <si>
    <t>ZeniWorks</t>
  </si>
  <si>
    <t>OrbitCare</t>
  </si>
  <si>
    <t>RapidGenix</t>
  </si>
  <si>
    <t>VertexBox</t>
  </si>
  <si>
    <t>FinBox</t>
  </si>
  <si>
    <t>KiteFleet</t>
  </si>
  <si>
    <t>Voltly</t>
  </si>
  <si>
    <t>GreenBase</t>
  </si>
  <si>
    <t>VertexWorks</t>
  </si>
  <si>
    <t>ZipYard</t>
  </si>
  <si>
    <t>AstraBee</t>
  </si>
  <si>
    <t>FluxKart</t>
  </si>
  <si>
    <t>FluxCare</t>
  </si>
  <si>
    <t>SnapStack</t>
  </si>
  <si>
    <t>CredWave</t>
  </si>
  <si>
    <t>VityMind</t>
  </si>
  <si>
    <t>PrimeHub</t>
  </si>
  <si>
    <t>NextWave</t>
  </si>
  <si>
    <t>NovaFlow</t>
  </si>
  <si>
    <t>FluxWave</t>
  </si>
  <si>
    <t>CloudGrid</t>
  </si>
  <si>
    <t>HyperBee</t>
  </si>
  <si>
    <t>SnapFarm</t>
  </si>
  <si>
    <t>CredFleet</t>
  </si>
  <si>
    <t>BrightVerse</t>
  </si>
  <si>
    <t>VoltMind</t>
  </si>
  <si>
    <t>ZeniYard</t>
  </si>
  <si>
    <t>AstraCare</t>
  </si>
  <si>
    <t>Novaly</t>
  </si>
  <si>
    <t>BoldGrid</t>
  </si>
  <si>
    <t>LumenVerse</t>
  </si>
  <si>
    <t>Greenly</t>
  </si>
  <si>
    <t>FluxFlow</t>
  </si>
  <si>
    <t>PeakFleet</t>
  </si>
  <si>
    <t>PixelLearn</t>
  </si>
  <si>
    <t>NimbusNest</t>
  </si>
  <si>
    <t>GreenGenix</t>
  </si>
  <si>
    <t>OrbitStack</t>
  </si>
  <si>
    <t>LoopCare</t>
  </si>
  <si>
    <t>EchoSphere</t>
  </si>
  <si>
    <t>RapidWorks</t>
  </si>
  <si>
    <t>OrbitBox</t>
  </si>
  <si>
    <t>KiteGrid</t>
  </si>
  <si>
    <t>LoopBase</t>
  </si>
  <si>
    <t>NextWorks</t>
  </si>
  <si>
    <t>OrbitGenix</t>
  </si>
  <si>
    <t>BoldStack</t>
  </si>
  <si>
    <t>PixelWave</t>
  </si>
  <si>
    <t>LoopFlow</t>
  </si>
  <si>
    <t>Nimbusly</t>
  </si>
  <si>
    <t>SageTech</t>
  </si>
  <si>
    <t>OrbitHub</t>
  </si>
  <si>
    <t>TerraCare</t>
  </si>
  <si>
    <t>ZipFleet</t>
  </si>
  <si>
    <t>QuickFarm</t>
  </si>
  <si>
    <t>SageMind</t>
  </si>
  <si>
    <t>CredLearn</t>
  </si>
  <si>
    <t>SmartWallet</t>
  </si>
  <si>
    <t>CartBox</t>
  </si>
  <si>
    <t>PeakFarm</t>
  </si>
  <si>
    <t>PixelNest</t>
  </si>
  <si>
    <t>GreenBot</t>
  </si>
  <si>
    <t>UrbanSphere</t>
  </si>
  <si>
    <t>OrbitWorks</t>
  </si>
  <si>
    <t>CartWorks</t>
  </si>
  <si>
    <t>PeakBase</t>
  </si>
  <si>
    <t>VityLoop</t>
  </si>
  <si>
    <t>VityBot</t>
  </si>
  <si>
    <t>OrbitBase</t>
  </si>
  <si>
    <t>EchoFleet</t>
  </si>
  <si>
    <t>ZeniGrid</t>
  </si>
  <si>
    <t>UrbanKart</t>
  </si>
  <si>
    <t>TerraFleet</t>
  </si>
  <si>
    <t>EduCare</t>
  </si>
  <si>
    <t>MedTech</t>
  </si>
  <si>
    <t>SmartBot</t>
  </si>
  <si>
    <t>SageWallet</t>
  </si>
  <si>
    <t>ZipFlow</t>
  </si>
  <si>
    <t>PrimeLabs</t>
  </si>
  <si>
    <t>SnapCare</t>
  </si>
  <si>
    <t>ByteBox</t>
  </si>
  <si>
    <t>VoltWorks</t>
  </si>
  <si>
    <t>HyperBase</t>
  </si>
  <si>
    <t>GreenVerse</t>
  </si>
  <si>
    <t>UrbanTech</t>
  </si>
  <si>
    <t>QuickStack</t>
  </si>
  <si>
    <t>PeakWorks</t>
  </si>
  <si>
    <t>OrbitLabs</t>
  </si>
  <si>
    <t>PrimeWave</t>
  </si>
  <si>
    <t>FluxGrid</t>
  </si>
  <si>
    <t>GreenTech</t>
  </si>
  <si>
    <t>NextTech</t>
  </si>
  <si>
    <t>VoltGrid</t>
  </si>
  <si>
    <t>PrimeWallet</t>
  </si>
  <si>
    <t>PrimeSphere</t>
  </si>
  <si>
    <t>MetaPay</t>
  </si>
  <si>
    <t>LoopTech</t>
  </si>
  <si>
    <t>GreenHub</t>
  </si>
  <si>
    <t>CredGenix</t>
  </si>
  <si>
    <t>SnapPay</t>
  </si>
  <si>
    <t>VertexLearn</t>
  </si>
  <si>
    <t>VertexWave</t>
  </si>
  <si>
    <t>FinNest</t>
  </si>
  <si>
    <t>BoldCare</t>
  </si>
  <si>
    <t>FreshGenix</t>
  </si>
  <si>
    <t>UrbanMind</t>
  </si>
  <si>
    <t>SageWorks</t>
  </si>
  <si>
    <t>BoldFlow</t>
  </si>
  <si>
    <t>BrightYard</t>
  </si>
  <si>
    <t>LoopPay</t>
  </si>
  <si>
    <t>ZeniVerse</t>
  </si>
  <si>
    <t>QuickGrid</t>
  </si>
  <si>
    <t>EchoStack</t>
  </si>
  <si>
    <t>MedHub</t>
  </si>
  <si>
    <t>NextNest</t>
  </si>
  <si>
    <t>FluxLoop</t>
  </si>
  <si>
    <t>Fluxly</t>
  </si>
  <si>
    <t>FinFarm</t>
  </si>
  <si>
    <t>RapidVerse</t>
  </si>
  <si>
    <t>CartStack</t>
  </si>
  <si>
    <t>RapidBase</t>
  </si>
  <si>
    <t>GreenYard</t>
  </si>
  <si>
    <t>FinPay</t>
  </si>
  <si>
    <t>SmartVerse</t>
  </si>
  <si>
    <t>LoopLoop</t>
  </si>
  <si>
    <t>SageLoop</t>
  </si>
  <si>
    <t>Cloudly</t>
  </si>
  <si>
    <t>SmartFleet</t>
  </si>
  <si>
    <t>RapidKart</t>
  </si>
  <si>
    <t>LoopHub</t>
  </si>
  <si>
    <t>HyperBot</t>
  </si>
  <si>
    <t>RapidCare</t>
  </si>
  <si>
    <t>NovaFleet</t>
  </si>
  <si>
    <t>KiteNest</t>
  </si>
  <si>
    <t>BrightWorks</t>
  </si>
  <si>
    <t>ByteFleet</t>
  </si>
  <si>
    <t>AstraStack</t>
  </si>
  <si>
    <t>PixelBot</t>
  </si>
  <si>
    <t>PeakStack</t>
  </si>
  <si>
    <t>CredNest</t>
  </si>
  <si>
    <t>GreenFlow</t>
  </si>
  <si>
    <t>Ziply</t>
  </si>
  <si>
    <t>VertexLabs</t>
  </si>
  <si>
    <t>FinYard</t>
  </si>
  <si>
    <t>EduTech</t>
  </si>
  <si>
    <t>UrbanFlow</t>
  </si>
  <si>
    <t>RapidStack</t>
  </si>
  <si>
    <t>BrightCare</t>
  </si>
  <si>
    <t>UrbanHub</t>
  </si>
  <si>
    <t>AstraTech</t>
  </si>
  <si>
    <t>MedLearn</t>
  </si>
  <si>
    <t>ZipFarm</t>
  </si>
  <si>
    <t>NimbusSphere</t>
  </si>
  <si>
    <t>NimbusBase</t>
  </si>
  <si>
    <t>RapidFarm</t>
  </si>
  <si>
    <t>PeakHub</t>
  </si>
  <si>
    <t>CredStack</t>
  </si>
  <si>
    <t>OrbitNest</t>
  </si>
  <si>
    <t>SageFarm</t>
  </si>
  <si>
    <t>AstraMind</t>
  </si>
  <si>
    <t>LumenMind</t>
  </si>
  <si>
    <t>BrightPay</t>
  </si>
  <si>
    <t>LumenTech</t>
  </si>
  <si>
    <t>ZeniTech</t>
  </si>
  <si>
    <t>CartLearn</t>
  </si>
  <si>
    <t>NextStack</t>
  </si>
  <si>
    <t>KiteCare</t>
  </si>
  <si>
    <t>EchoLearn</t>
  </si>
  <si>
    <t>Eduly</t>
  </si>
  <si>
    <t>SnapMind</t>
  </si>
  <si>
    <t>VertexVerse</t>
  </si>
  <si>
    <t>AstraBot</t>
  </si>
  <si>
    <t>QuickPay</t>
  </si>
  <si>
    <t>BrightBox</t>
  </si>
  <si>
    <t>FinGrid</t>
  </si>
  <si>
    <t>MedNest</t>
  </si>
  <si>
    <t>FinLearn</t>
  </si>
  <si>
    <t>NovaWallet</t>
  </si>
  <si>
    <t>VityCare</t>
  </si>
  <si>
    <t>CloudCare</t>
  </si>
  <si>
    <t>VoltFlow</t>
  </si>
  <si>
    <t>LoopWave</t>
  </si>
  <si>
    <t>CloudBee</t>
  </si>
  <si>
    <t>EduLabs</t>
  </si>
  <si>
    <t>SmartFarm</t>
  </si>
  <si>
    <t>FinStack</t>
  </si>
  <si>
    <t>GreenWave</t>
  </si>
  <si>
    <t>CartWave</t>
  </si>
  <si>
    <t>CredTech</t>
  </si>
  <si>
    <t>GreenKart</t>
  </si>
  <si>
    <t>ZeniBase</t>
  </si>
  <si>
    <t>UrbanFleet</t>
  </si>
  <si>
    <t>NextGrid</t>
  </si>
  <si>
    <t>ZipCare</t>
  </si>
  <si>
    <t>UrbanWorks</t>
  </si>
  <si>
    <t>NovaLoop</t>
  </si>
  <si>
    <t>SmartBase</t>
  </si>
  <si>
    <t>ZipPay</t>
  </si>
  <si>
    <t>ZipKart</t>
  </si>
  <si>
    <t>VertexMind</t>
  </si>
  <si>
    <t>EduPay</t>
  </si>
  <si>
    <t>CartFleet</t>
  </si>
  <si>
    <t>ZeniLearn</t>
  </si>
  <si>
    <t>BoldWallet</t>
  </si>
  <si>
    <t>FreshWave</t>
  </si>
  <si>
    <t>TerraLoop</t>
  </si>
  <si>
    <t>HyperLabs</t>
  </si>
  <si>
    <t>CloudGenix</t>
  </si>
  <si>
    <t>LoopBot</t>
  </si>
  <si>
    <t>PeakBot</t>
  </si>
  <si>
    <t>EchoBox</t>
  </si>
  <si>
    <t>VoltNest</t>
  </si>
  <si>
    <t>SnapFleet</t>
  </si>
  <si>
    <t>QuickBot</t>
  </si>
  <si>
    <t>RapidYard</t>
  </si>
  <si>
    <t>TerraWave</t>
  </si>
  <si>
    <t>EchoGrid</t>
  </si>
  <si>
    <t>LoopBee</t>
  </si>
  <si>
    <t>BrightFlow</t>
  </si>
  <si>
    <t>PixelYard</t>
  </si>
  <si>
    <t>FinWave</t>
  </si>
  <si>
    <t>PixelFarm</t>
  </si>
  <si>
    <t>PrimeLearn</t>
  </si>
  <si>
    <t>OrbitGrid</t>
  </si>
  <si>
    <t>OrbitBee</t>
  </si>
  <si>
    <t>ZipLoop</t>
  </si>
  <si>
    <t>GreenGrid</t>
  </si>
  <si>
    <t>UrbanStack</t>
  </si>
  <si>
    <t>MedLoop</t>
  </si>
  <si>
    <t>VertexFarm</t>
  </si>
  <si>
    <t>BrightLabs</t>
  </si>
  <si>
    <t>SageKart</t>
  </si>
  <si>
    <t>NextFleet</t>
  </si>
  <si>
    <t>ZeniNest</t>
  </si>
  <si>
    <t>VityYard</t>
  </si>
  <si>
    <t>MedFarm</t>
  </si>
  <si>
    <t>ZeniLabs</t>
  </si>
  <si>
    <t>PrimeBase</t>
  </si>
  <si>
    <t>MetaWave</t>
  </si>
  <si>
    <t>LumenLoop</t>
  </si>
  <si>
    <t>ZipGenix</t>
  </si>
  <si>
    <t>LoopLabs</t>
  </si>
  <si>
    <t>HyperCare</t>
  </si>
  <si>
    <t>KiteBot</t>
  </si>
  <si>
    <t>VityGrid</t>
  </si>
  <si>
    <t>EduStack</t>
  </si>
  <si>
    <t>BrightBee</t>
  </si>
  <si>
    <t>KiteBox</t>
  </si>
  <si>
    <t>MetaBox</t>
  </si>
  <si>
    <t>SnapBase</t>
  </si>
  <si>
    <t>QuickLearn</t>
  </si>
  <si>
    <t>ZipWorks</t>
  </si>
  <si>
    <t>TerraGenix</t>
  </si>
  <si>
    <t>PixelKart</t>
  </si>
  <si>
    <t>OrbitVerse</t>
  </si>
  <si>
    <t>UrbanNest</t>
  </si>
  <si>
    <t>MetaGrid</t>
  </si>
  <si>
    <t>VertexBot</t>
  </si>
  <si>
    <t>KiteBase</t>
  </si>
  <si>
    <t>NextCare</t>
  </si>
  <si>
    <t>VertexFleet</t>
  </si>
  <si>
    <t>TerraStack</t>
  </si>
  <si>
    <t>FinHub</t>
  </si>
  <si>
    <t>AstraFleet</t>
  </si>
  <si>
    <t>ByteNest</t>
  </si>
  <si>
    <t>ZeniSphere</t>
  </si>
  <si>
    <t>NimbusWave</t>
  </si>
  <si>
    <t>PeakKart</t>
  </si>
  <si>
    <t>UrbanGenix</t>
  </si>
  <si>
    <t>VoltBee</t>
  </si>
  <si>
    <t>LoopWallet</t>
  </si>
  <si>
    <t>BoldLearn</t>
  </si>
  <si>
    <t>LumenHub</t>
  </si>
  <si>
    <t>NovaNest</t>
  </si>
  <si>
    <t>QuickLoop</t>
  </si>
  <si>
    <t>LoopFleet</t>
  </si>
  <si>
    <t>CredPay</t>
  </si>
  <si>
    <t>TerraSphere</t>
  </si>
  <si>
    <t>RapidSphere</t>
  </si>
  <si>
    <t>VityFarm</t>
  </si>
  <si>
    <t>NimbusTech</t>
  </si>
  <si>
    <t>BrightLoop</t>
  </si>
  <si>
    <t>AstraNest</t>
  </si>
  <si>
    <t>EduGenix</t>
  </si>
  <si>
    <t>MetaVerse</t>
  </si>
  <si>
    <t>LumenWave</t>
  </si>
  <si>
    <t>SmartLearn</t>
  </si>
  <si>
    <t>NimbusYard</t>
  </si>
  <si>
    <t>LumenFleet</t>
  </si>
  <si>
    <t>CartYard</t>
  </si>
  <si>
    <t>ByteGenix</t>
  </si>
  <si>
    <t>Orbitly</t>
  </si>
  <si>
    <t>VityFleet</t>
  </si>
  <si>
    <t>BoldPay</t>
  </si>
  <si>
    <t>RapidWave</t>
  </si>
  <si>
    <t>ZeniCare</t>
  </si>
  <si>
    <t>Primely</t>
  </si>
  <si>
    <t>NovaLearn</t>
  </si>
  <si>
    <t>FreshNest</t>
  </si>
  <si>
    <t>CredGrid</t>
  </si>
  <si>
    <t>LumenPay</t>
  </si>
  <si>
    <t>BrightBot</t>
  </si>
  <si>
    <t>MedSphere</t>
  </si>
  <si>
    <t>UrbanWallet</t>
  </si>
  <si>
    <t>FinTech</t>
  </si>
  <si>
    <t>ByteCare</t>
  </si>
  <si>
    <t>SmartNest</t>
  </si>
  <si>
    <t>MedMind</t>
  </si>
  <si>
    <t>PixelLoop</t>
  </si>
  <si>
    <t>VoltLearn</t>
  </si>
  <si>
    <t>CartMind</t>
  </si>
  <si>
    <t>PeakVerse</t>
  </si>
  <si>
    <t>EchoLoop</t>
  </si>
  <si>
    <t>HyperFleet</t>
  </si>
  <si>
    <t>FluxNest</t>
  </si>
  <si>
    <t>NovaMind</t>
  </si>
  <si>
    <t>CloudLearn</t>
  </si>
  <si>
    <t>LumenNest</t>
  </si>
  <si>
    <t>ZeniBee</t>
  </si>
  <si>
    <t>Finly</t>
  </si>
  <si>
    <t>CloudWorks</t>
  </si>
  <si>
    <t>MetaSphere</t>
  </si>
  <si>
    <t>QuickCare</t>
  </si>
  <si>
    <t>BrightHub</t>
  </si>
  <si>
    <t>EduWallet</t>
  </si>
  <si>
    <t>NextMind</t>
  </si>
  <si>
    <t>PrimeFarm</t>
  </si>
  <si>
    <t>CloudYard</t>
  </si>
  <si>
    <t>QuickBase</t>
  </si>
  <si>
    <t>VertexStack</t>
  </si>
  <si>
    <t>NextSphere</t>
  </si>
  <si>
    <t>LumenBox</t>
  </si>
  <si>
    <t>NovaBox</t>
  </si>
  <si>
    <t>CloudLabs</t>
  </si>
  <si>
    <t>NimbusBox</t>
  </si>
  <si>
    <t>TerraWallet</t>
  </si>
  <si>
    <t>NimbusBee</t>
  </si>
  <si>
    <t>CredLoop</t>
  </si>
  <si>
    <t>GreenSphere</t>
  </si>
  <si>
    <t>BrightFarm</t>
  </si>
  <si>
    <t>FreshCare</t>
  </si>
  <si>
    <t>NovaBee</t>
  </si>
  <si>
    <t>SnapLabs</t>
  </si>
  <si>
    <t>EchoCare</t>
  </si>
  <si>
    <t>NextWallet</t>
  </si>
  <si>
    <t>SmartFlow</t>
  </si>
  <si>
    <t>ByteLoop</t>
  </si>
  <si>
    <t>ByteSphere</t>
  </si>
  <si>
    <t>LoopSphere</t>
  </si>
  <si>
    <t>EduLearn</t>
  </si>
  <si>
    <t>LoopYard</t>
  </si>
  <si>
    <t>BoldGenix</t>
  </si>
  <si>
    <t>OrbitTech</t>
  </si>
  <si>
    <t>LumenFlow</t>
  </si>
  <si>
    <t>Cartly</t>
  </si>
  <si>
    <t>VertexPay</t>
  </si>
  <si>
    <t>NovaCare</t>
  </si>
  <si>
    <t>BoldMind</t>
  </si>
  <si>
    <t>VoltBox</t>
  </si>
  <si>
    <t>KiteWorks</t>
  </si>
  <si>
    <t>ByteWave</t>
  </si>
  <si>
    <t>BrightWave</t>
  </si>
  <si>
    <t>UrbanGrid</t>
  </si>
  <si>
    <t>Metaly</t>
  </si>
  <si>
    <t>NimbusGenix</t>
  </si>
  <si>
    <t>MetaStack</t>
  </si>
  <si>
    <t>NextPay</t>
  </si>
  <si>
    <t>FreshMind</t>
  </si>
  <si>
    <t>VoltHub</t>
  </si>
  <si>
    <t>PeakGrid</t>
  </si>
  <si>
    <t>MedWorks</t>
  </si>
  <si>
    <t>SageWave</t>
  </si>
  <si>
    <t>TerraKart</t>
  </si>
  <si>
    <t>UrbanFarm</t>
  </si>
  <si>
    <t>KiteFlow</t>
  </si>
  <si>
    <t>MedGrid</t>
  </si>
  <si>
    <t>FreshHub</t>
  </si>
  <si>
    <t>MedVerse</t>
  </si>
  <si>
    <t>GreenFarm</t>
  </si>
  <si>
    <t>VoltCare</t>
  </si>
  <si>
    <t>BrightKart</t>
  </si>
  <si>
    <t>TerraHub</t>
  </si>
  <si>
    <t>LoopBox</t>
  </si>
  <si>
    <t>FreshLoop</t>
  </si>
  <si>
    <t>FreshFlow</t>
  </si>
  <si>
    <t>CartGenix</t>
  </si>
  <si>
    <t>EchoBase</t>
  </si>
  <si>
    <t>BrightWallet</t>
  </si>
  <si>
    <t>BoldBee</t>
  </si>
  <si>
    <t>TerraBase</t>
  </si>
  <si>
    <t>PrimeNest</t>
  </si>
  <si>
    <t>ZipLearn</t>
  </si>
  <si>
    <t>FreshSphere</t>
  </si>
  <si>
    <t>LumenStack</t>
  </si>
  <si>
    <t>SageFleet</t>
  </si>
  <si>
    <t>FinWorks</t>
  </si>
  <si>
    <t>UrbanLearn</t>
  </si>
  <si>
    <t>SmartBox</t>
  </si>
  <si>
    <t>Nextly</t>
  </si>
  <si>
    <t>KiteGenix</t>
  </si>
  <si>
    <t>VertexCare</t>
  </si>
  <si>
    <t>LumenBot</t>
  </si>
  <si>
    <t>VityBase</t>
  </si>
  <si>
    <t>SnapGenix</t>
  </si>
  <si>
    <t>PrimeBee</t>
  </si>
  <si>
    <t>TerraBox</t>
  </si>
  <si>
    <t>VoltSphere</t>
  </si>
  <si>
    <t>CartHub</t>
  </si>
  <si>
    <t>EchoYard</t>
  </si>
  <si>
    <t>CloudWallet</t>
  </si>
  <si>
    <t>VityPay</t>
  </si>
  <si>
    <t>CartBee</t>
  </si>
  <si>
    <t>SnapWorks</t>
  </si>
  <si>
    <t>EchoTech</t>
  </si>
  <si>
    <t>VityNest</t>
  </si>
  <si>
    <t>SageBase</t>
  </si>
  <si>
    <t>EduKart</t>
  </si>
  <si>
    <t>Lumenly</t>
  </si>
  <si>
    <t>UrbanBase</t>
  </si>
  <si>
    <t>HyperLoop</t>
  </si>
  <si>
    <t>HyperSphere</t>
  </si>
  <si>
    <t>LumenWorks</t>
  </si>
  <si>
    <t>MedCare</t>
  </si>
  <si>
    <t>VityBee</t>
  </si>
  <si>
    <t>MedBot</t>
  </si>
  <si>
    <t>BrightNest</t>
  </si>
  <si>
    <t>FreshLearn</t>
  </si>
  <si>
    <t>EduBee</t>
  </si>
  <si>
    <t>EduGrid</t>
  </si>
  <si>
    <t>FinFlow</t>
  </si>
  <si>
    <t>CartBase</t>
  </si>
  <si>
    <t>SnapBox</t>
  </si>
  <si>
    <t>FreshKart</t>
  </si>
  <si>
    <t>CredBee</t>
  </si>
  <si>
    <t>ZeniPay</t>
  </si>
  <si>
    <t>ZeniGenix</t>
  </si>
  <si>
    <t>ZeniWave</t>
  </si>
  <si>
    <t>NimbusMind</t>
  </si>
  <si>
    <t>EduBox</t>
  </si>
  <si>
    <t>VoltKart</t>
  </si>
  <si>
    <t>CartTech</t>
  </si>
  <si>
    <t>HyperTech</t>
  </si>
  <si>
    <t>VertexBee</t>
  </si>
  <si>
    <t>Medly</t>
  </si>
  <si>
    <t>ZipBot</t>
  </si>
  <si>
    <t>Bytely</t>
  </si>
  <si>
    <t>VertexGrid</t>
  </si>
  <si>
    <t>VertexNest</t>
  </si>
  <si>
    <t>GreenNest</t>
  </si>
  <si>
    <t>RapidPay</t>
  </si>
  <si>
    <t>NovaVerse</t>
  </si>
  <si>
    <t>CartLoop</t>
  </si>
  <si>
    <t>PixelBee</t>
  </si>
  <si>
    <t>ByteVerse</t>
  </si>
  <si>
    <t>PrimeYard</t>
  </si>
  <si>
    <t>ZeniFleet</t>
  </si>
  <si>
    <t>HyperStack</t>
  </si>
  <si>
    <t>VoltLabs</t>
  </si>
  <si>
    <t>MetaLearn</t>
  </si>
  <si>
    <t>EduMind</t>
  </si>
  <si>
    <t>GreenWorks</t>
  </si>
  <si>
    <t>UrbanPay</t>
  </si>
  <si>
    <t>EchoHub</t>
  </si>
  <si>
    <t>Boldly</t>
  </si>
  <si>
    <t>CloudBot</t>
  </si>
  <si>
    <t>FluxSphere</t>
  </si>
  <si>
    <t>CredWorks</t>
  </si>
  <si>
    <t>MetaYard</t>
  </si>
  <si>
    <t>BoldFleet</t>
  </si>
  <si>
    <t>CloudPay</t>
  </si>
  <si>
    <t>PrimeTech</t>
  </si>
  <si>
    <t>CartGrid</t>
  </si>
  <si>
    <t>ZeniLoop</t>
  </si>
  <si>
    <t>FluxLearn</t>
  </si>
  <si>
    <t>PixelTech</t>
  </si>
  <si>
    <t>BoldHub</t>
  </si>
  <si>
    <t>ByteYard</t>
  </si>
  <si>
    <t>SmartYard</t>
  </si>
  <si>
    <t>AstraBase</t>
  </si>
  <si>
    <t>PeakWallet</t>
  </si>
  <si>
    <t>FreshGrid</t>
  </si>
  <si>
    <t>SageNest</t>
  </si>
  <si>
    <t>EchoLabs</t>
  </si>
  <si>
    <t>EduFarm</t>
  </si>
  <si>
    <t>Brightly</t>
  </si>
  <si>
    <t>VitySphere</t>
  </si>
  <si>
    <t>PrimeFlow</t>
  </si>
  <si>
    <t>VityWorks</t>
  </si>
  <si>
    <t>ZipVerse</t>
  </si>
  <si>
    <t>VityLabs</t>
  </si>
  <si>
    <t>BoldLoop</t>
  </si>
  <si>
    <t>NextBot</t>
  </si>
  <si>
    <t>NovaBase</t>
  </si>
  <si>
    <t>SnapGrid</t>
  </si>
  <si>
    <t>MetaFarm</t>
  </si>
  <si>
    <t>BoldBase</t>
  </si>
  <si>
    <t>SmartWorks</t>
  </si>
  <si>
    <t>FluxBot</t>
  </si>
  <si>
    <t>Smartly</t>
  </si>
  <si>
    <t>AstraWave</t>
  </si>
  <si>
    <t>CartCare</t>
  </si>
  <si>
    <t>HyperBox</t>
  </si>
  <si>
    <t>SageBee</t>
  </si>
  <si>
    <t>FinBase</t>
  </si>
  <si>
    <t>BrightBase</t>
  </si>
  <si>
    <t>PeakLabs</t>
  </si>
  <si>
    <t>CartFarm</t>
  </si>
  <si>
    <t>OrbitSphere</t>
  </si>
  <si>
    <t>Snaply</t>
  </si>
  <si>
    <t>SageFlow</t>
  </si>
  <si>
    <t>SageYard</t>
  </si>
  <si>
    <t>AstraFarm</t>
  </si>
  <si>
    <t>HyperMind</t>
  </si>
  <si>
    <t>ZeniBot</t>
  </si>
  <si>
    <t>ByteGrid</t>
  </si>
  <si>
    <t>OrbitPay</t>
  </si>
  <si>
    <t>SnapFlow</t>
  </si>
  <si>
    <t>PeakLearn</t>
  </si>
  <si>
    <t>CartKart</t>
  </si>
  <si>
    <t>PixelVerse</t>
  </si>
  <si>
    <t>NextBase</t>
  </si>
  <si>
    <t>CloudKart</t>
  </si>
  <si>
    <t>NovaGenix</t>
  </si>
  <si>
    <t>GreenLoop</t>
  </si>
  <si>
    <t>MetaHub</t>
  </si>
  <si>
    <t>MetaMind</t>
  </si>
  <si>
    <t>SageLearn</t>
  </si>
  <si>
    <t>FinMind</t>
  </si>
  <si>
    <t>KiteHub</t>
  </si>
  <si>
    <t>MetaBase</t>
  </si>
  <si>
    <t>PrimeBox</t>
  </si>
  <si>
    <t>NovaGrid</t>
  </si>
  <si>
    <t>BrightSphere</t>
  </si>
  <si>
    <t>BoldWave</t>
  </si>
  <si>
    <t>MedLabs</t>
  </si>
  <si>
    <t>KiteFarm</t>
  </si>
  <si>
    <t>MetaWallet</t>
  </si>
  <si>
    <t>FluxTech</t>
  </si>
  <si>
    <t>ByteTech</t>
  </si>
  <si>
    <t>VoltLoop</t>
  </si>
  <si>
    <t>AstraFlow</t>
  </si>
  <si>
    <t>PixelCare</t>
  </si>
  <si>
    <t>UrbanBot</t>
  </si>
  <si>
    <t>FinLoop</t>
  </si>
  <si>
    <t>VityWallet</t>
  </si>
  <si>
    <t>HyperGrid</t>
  </si>
  <si>
    <t>KiteStack</t>
  </si>
  <si>
    <t>HyperNest</t>
  </si>
  <si>
    <t>SnapVerse</t>
  </si>
  <si>
    <t>CredFlow</t>
  </si>
  <si>
    <t>QuickWave</t>
  </si>
  <si>
    <t>MetaCare</t>
  </si>
  <si>
    <t>UrbanYard</t>
  </si>
  <si>
    <t>AstraLabs</t>
  </si>
  <si>
    <t>CredBase</t>
  </si>
  <si>
    <t>LumenCare</t>
  </si>
  <si>
    <t>MetaBot</t>
  </si>
  <si>
    <t>LoopGenix</t>
  </si>
  <si>
    <t>SnapNest</t>
  </si>
  <si>
    <t>NimbusStack</t>
  </si>
  <si>
    <t>EchoKart</t>
  </si>
  <si>
    <t>SnapBot</t>
  </si>
  <si>
    <t>BoldLabs</t>
  </si>
  <si>
    <t>FreshStack</t>
  </si>
  <si>
    <t>Grand Total</t>
  </si>
  <si>
    <t>Total Funding</t>
  </si>
  <si>
    <t>Funding</t>
  </si>
  <si>
    <t>Deals</t>
  </si>
  <si>
    <t>TotFund</t>
  </si>
  <si>
    <t>AvgDeal</t>
  </si>
  <si>
    <t>TotVal</t>
  </si>
  <si>
    <t>MaxDeal</t>
  </si>
  <si>
    <t>TotEmp</t>
  </si>
  <si>
    <t>INDIAN STARTUP FUNDING TRACKER</t>
  </si>
  <si>
    <t>🚀</t>
  </si>
  <si>
    <t>Total Funded Startups</t>
  </si>
  <si>
    <t>💰</t>
  </si>
  <si>
    <t>👥</t>
  </si>
  <si>
    <t>Total Employees</t>
  </si>
  <si>
    <t>🏢</t>
  </si>
  <si>
    <t>Total Valuation</t>
  </si>
  <si>
    <t>🏆</t>
  </si>
  <si>
    <t>Largest Deal</t>
  </si>
  <si>
    <t>2019 – 2024   •   Interactive analytics: funding by sector, city, stage &amp; year</t>
  </si>
  <si>
    <t>Source: Simulated dataset for academic project   •   Built with Excel PivotTables, PivotCharts &amp; Slicers</t>
  </si>
  <si>
    <t xml:space="preserve">               🔎  FILTERS</t>
  </si>
  <si>
    <t xml:space="preserve">  PIVOT TABLES  —  DATA ENGINE</t>
  </si>
  <si>
    <t>Funding by Stage</t>
  </si>
  <si>
    <t>Top 10 Funded Startups</t>
  </si>
  <si>
    <t>Funding by City</t>
  </si>
  <si>
    <t>Number of Deals by Sector</t>
  </si>
  <si>
    <t>Funding by Sector</t>
  </si>
  <si>
    <t>Funding by Year</t>
  </si>
  <si>
    <t>Sectors</t>
  </si>
  <si>
    <t>Name of company</t>
  </si>
  <si>
    <t>years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</si>
</sst>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dd\-mmm\-yyyy"/>
    <numFmt numFmtId="166" formatCode="\$#,##0&quot;M&quot;"/>
    <numFmt numFmtId="167" formatCode="\$#,##0.0&quot;M&quot;"/>
    <numFmt numFmtId="168" formatCode="\$#,##0.0&quot;B&quot;"/>
  </numFmts>
  <fonts count="19" x14ac:knownFonts="1">
    <font>
      <sz val="11"/>
      <color theme="1"/>
      <name val="Calibri"/>
      <family val="2"/>
      <scheme val="minor"/>
    </font>
    <font>
      <b/>
      <sz val="10"/>
      <color rgb="FFFFFFFF"/>
      <name val="Calibri"/>
    </font>
    <font>
      <sz val="10"/>
      <name val="Calibri"/>
    </font>
    <font>
      <sz val="20"/>
      <color rgb="FFFFFFFF"/>
      <name val="Calibri"/>
      <family val="2"/>
      <scheme val="minor"/>
    </font>
    <font>
      <b/>
      <sz val="15"/>
      <color rgb="FFF5A623"/>
      <name val="Calibri"/>
      <family val="2"/>
      <scheme val="minor"/>
    </font>
    <font>
      <b/>
      <sz val="12"/>
      <color rgb="FF7896FF"/>
      <name val="Calibri"/>
      <family val="2"/>
      <scheme val="minor"/>
    </font>
    <font>
      <b/>
      <sz val="15"/>
      <color rgb="FF26C485"/>
      <name val="Calibri"/>
      <family val="2"/>
      <scheme val="minor"/>
    </font>
    <font>
      <sz val="9"/>
      <color rgb="FF8A94AF"/>
      <name val="Calibri"/>
      <family val="2"/>
      <scheme val="minor"/>
    </font>
    <font>
      <b/>
      <sz val="15"/>
      <color rgb="FF1EC8B4"/>
      <name val="Calibri"/>
      <family val="2"/>
      <scheme val="minor"/>
    </font>
    <font>
      <b/>
      <sz val="15"/>
      <color rgb="FF3884FF"/>
      <name val="Calibri"/>
      <family val="2"/>
      <scheme val="minor"/>
    </font>
    <font>
      <b/>
      <sz val="15"/>
      <color rgb="FFEC548C"/>
      <name val="Calibri"/>
      <family val="2"/>
      <scheme val="minor"/>
    </font>
    <font>
      <b/>
      <sz val="25"/>
      <color theme="0"/>
      <name val="Calibri"/>
      <family val="2"/>
      <scheme val="minor"/>
    </font>
    <font>
      <i/>
      <sz val="11"/>
      <color theme="0" tint="-0.14999847407452621"/>
      <name val="Calibri"/>
      <family val="2"/>
      <scheme val="minor"/>
    </font>
    <font>
      <i/>
      <sz val="8"/>
      <color theme="0" tint="-0.14999847407452621"/>
      <name val="Calibri"/>
      <family val="2"/>
      <scheme val="minor"/>
    </font>
    <font>
      <b/>
      <sz val="16"/>
      <color rgb="FFFFFFFF"/>
      <name val="Calibri"/>
      <family val="2"/>
      <scheme val="minor"/>
    </font>
    <font>
      <i/>
      <sz val="10"/>
      <color rgb="FF5A6478"/>
      <name val="Calibri"/>
      <family val="2"/>
      <scheme val="minor"/>
    </font>
    <font>
      <b/>
      <sz val="11"/>
      <color rgb="FF1F2A44"/>
      <name val="Calibri"/>
      <family val="2"/>
      <scheme val="minor"/>
    </font>
    <font>
      <b/>
      <i/>
      <sz val="10"/>
      <color rgb="FF5A6478"/>
      <name val="Calibri"/>
      <family val="2"/>
      <scheme val="minor"/>
    </font>
    <font>
      <sz val="11"/>
      <color theme="0"/>
      <name val="Calibri"/>
      <family val="2"/>
      <scheme val="minor"/>
    </font>
  </fonts>
  <fills count="9">
    <fill>
      <patternFill patternType="none"/>
    </fill>
    <fill>
      <patternFill patternType="gray125"/>
    </fill>
    <fill>
      <patternFill patternType="solid">
        <fgColor rgb="FF1F2A44"/>
      </patternFill>
    </fill>
    <fill>
      <patternFill patternType="solid">
        <fgColor rgb="FFF7F9FC"/>
      </patternFill>
    </fill>
    <fill>
      <patternFill patternType="solid">
        <fgColor theme="3" tint="-0.249977111117893"/>
        <bgColor indexed="64"/>
      </patternFill>
    </fill>
    <fill>
      <patternFill patternType="solid">
        <fgColor rgb="FF03002E"/>
        <bgColor indexed="64"/>
      </patternFill>
    </fill>
    <fill>
      <patternFill patternType="solid">
        <fgColor rgb="FFFFFFFF"/>
        <bgColor indexed="64"/>
      </patternFill>
    </fill>
    <fill>
      <patternFill patternType="solid">
        <fgColor rgb="FF1F2A44"/>
        <bgColor indexed="64"/>
      </patternFill>
    </fill>
    <fill>
      <patternFill patternType="solid">
        <fgColor theme="4"/>
        <bgColor indexed="64"/>
      </patternFill>
    </fill>
  </fills>
  <borders count="10">
    <border>
      <left/>
      <right/>
      <top/>
      <bottom/>
      <diagonal/>
    </border>
    <border>
      <left style="thin">
        <color rgb="FFD5DAE5"/>
      </left>
      <right style="thin">
        <color rgb="FFD5DAE5"/>
      </right>
      <top style="thin">
        <color rgb="FFD5DAE5"/>
      </top>
      <bottom style="thin">
        <color rgb="FFD5DAE5"/>
      </bottom>
      <diagonal/>
    </border>
    <border>
      <left/>
      <right style="thin">
        <color theme="9"/>
      </right>
      <top/>
      <bottom/>
      <diagonal/>
    </border>
    <border>
      <left/>
      <right/>
      <top style="thin">
        <color theme="9"/>
      </top>
      <bottom/>
      <diagonal/>
    </border>
    <border>
      <left style="thin">
        <color theme="9"/>
      </left>
      <right/>
      <top style="thin">
        <color theme="9"/>
      </top>
      <bottom/>
      <diagonal/>
    </border>
    <border>
      <left/>
      <right style="thin">
        <color theme="9"/>
      </right>
      <top style="thin">
        <color theme="9"/>
      </top>
      <bottom/>
      <diagonal/>
    </border>
    <border>
      <left style="thin">
        <color theme="9"/>
      </left>
      <right/>
      <top/>
      <bottom/>
      <diagonal/>
    </border>
    <border>
      <left style="thin">
        <color theme="9"/>
      </left>
      <right/>
      <top/>
      <bottom style="thin">
        <color theme="9"/>
      </bottom>
      <diagonal/>
    </border>
    <border>
      <left/>
      <right/>
      <top/>
      <bottom style="thin">
        <color theme="9"/>
      </bottom>
      <diagonal/>
    </border>
    <border>
      <left/>
      <right style="thin">
        <color theme="9"/>
      </right>
      <top/>
      <bottom style="thin">
        <color theme="9"/>
      </bottom>
      <diagonal/>
    </border>
  </borders>
  <cellStyleXfs count="1">
    <xf numFmtId="0" fontId="0" fillId="0" borderId="0"/>
  </cellStyleXfs>
  <cellXfs count="50">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left"/>
    </xf>
    <xf numFmtId="0" fontId="2" fillId="3" borderId="1" xfId="0" applyFont="1" applyFill="1" applyBorder="1" applyAlignment="1">
      <alignment horizontal="center"/>
    </xf>
    <xf numFmtId="165" fontId="2" fillId="3" borderId="1" xfId="0" applyNumberFormat="1" applyFont="1" applyFill="1" applyBorder="1" applyAlignment="1">
      <alignment horizontal="center"/>
    </xf>
    <xf numFmtId="1" fontId="2" fillId="3" borderId="1" xfId="0" applyNumberFormat="1" applyFont="1" applyFill="1" applyBorder="1" applyAlignment="1">
      <alignment horizontal="center"/>
    </xf>
    <xf numFmtId="0" fontId="2" fillId="0" borderId="1" xfId="0" applyFont="1" applyBorder="1" applyAlignment="1">
      <alignment horizontal="left"/>
    </xf>
    <xf numFmtId="0" fontId="2" fillId="0" borderId="1" xfId="0" applyFont="1" applyBorder="1" applyAlignment="1">
      <alignment horizontal="center"/>
    </xf>
    <xf numFmtId="165" fontId="2" fillId="0" borderId="1" xfId="0" applyNumberFormat="1" applyFont="1" applyBorder="1" applyAlignment="1">
      <alignment horizontal="center"/>
    </xf>
    <xf numFmtId="1" fontId="2" fillId="0" borderId="1" xfId="0" applyNumberFormat="1" applyFont="1" applyBorder="1" applyAlignment="1">
      <alignment horizontal="center"/>
    </xf>
    <xf numFmtId="0" fontId="0" fillId="0" borderId="0" xfId="0" applyAlignment="1">
      <alignment horizontal="left"/>
    </xf>
    <xf numFmtId="0" fontId="0" fillId="5" borderId="0" xfId="0" applyFill="1"/>
    <xf numFmtId="164" fontId="2" fillId="3" borderId="1" xfId="0" applyNumberFormat="1" applyFont="1" applyFill="1" applyBorder="1" applyAlignment="1">
      <alignment horizontal="center"/>
    </xf>
    <xf numFmtId="3" fontId="2" fillId="3" borderId="1" xfId="0" applyNumberFormat="1" applyFont="1" applyFill="1" applyBorder="1" applyAlignment="1">
      <alignment horizontal="center"/>
    </xf>
    <xf numFmtId="164" fontId="2" fillId="0" borderId="1" xfId="0" applyNumberFormat="1" applyFont="1" applyBorder="1" applyAlignment="1">
      <alignment horizontal="center"/>
    </xf>
    <xf numFmtId="3" fontId="2" fillId="0" borderId="1" xfId="0" applyNumberFormat="1" applyFont="1" applyBorder="1" applyAlignment="1">
      <alignment horizontal="center"/>
    </xf>
    <xf numFmtId="0" fontId="0" fillId="0" borderId="0" xfId="0" applyAlignment="1">
      <alignment horizontal="center"/>
    </xf>
    <xf numFmtId="0" fontId="0" fillId="4" borderId="0" xfId="0" applyFill="1"/>
    <xf numFmtId="0" fontId="0" fillId="4" borderId="4" xfId="0" applyFill="1" applyBorder="1"/>
    <xf numFmtId="0" fontId="0" fillId="4" borderId="3" xfId="0" applyFill="1" applyBorder="1"/>
    <xf numFmtId="0" fontId="0" fillId="4" borderId="5" xfId="0" applyFill="1" applyBorder="1"/>
    <xf numFmtId="0" fontId="0" fillId="4" borderId="6" xfId="0" applyFill="1" applyBorder="1"/>
    <xf numFmtId="0" fontId="0" fillId="4" borderId="2" xfId="0" applyFill="1" applyBorder="1"/>
    <xf numFmtId="0" fontId="0" fillId="4" borderId="7" xfId="0" applyFill="1" applyBorder="1"/>
    <xf numFmtId="0" fontId="0" fillId="4" borderId="8" xfId="0" applyFill="1" applyBorder="1"/>
    <xf numFmtId="0" fontId="0" fillId="4" borderId="9" xfId="0" applyFill="1" applyBorder="1"/>
    <xf numFmtId="0" fontId="0" fillId="6" borderId="0" xfId="0" applyFill="1"/>
    <xf numFmtId="0" fontId="0" fillId="6" borderId="0" xfId="0" applyFill="1" applyAlignment="1">
      <alignment horizontal="left"/>
    </xf>
    <xf numFmtId="164" fontId="0" fillId="6" borderId="0" xfId="0" applyNumberFormat="1" applyFill="1"/>
    <xf numFmtId="1" fontId="0" fillId="6" borderId="0" xfId="0" applyNumberFormat="1" applyFill="1" applyAlignment="1">
      <alignment horizontal="left"/>
    </xf>
    <xf numFmtId="3" fontId="0" fillId="6" borderId="0" xfId="0" applyNumberFormat="1" applyFill="1"/>
    <xf numFmtId="0" fontId="15" fillId="6" borderId="0" xfId="0" applyFont="1" applyFill="1" applyAlignment="1">
      <alignment horizontal="left" vertical="center"/>
    </xf>
    <xf numFmtId="0" fontId="16" fillId="6" borderId="0" xfId="0" applyFont="1" applyFill="1" applyAlignment="1">
      <alignment horizontal="left" vertical="center"/>
    </xf>
    <xf numFmtId="0" fontId="17" fillId="6" borderId="0" xfId="0" applyFont="1" applyFill="1" applyAlignment="1">
      <alignment horizontal="left" vertical="center"/>
    </xf>
    <xf numFmtId="0" fontId="7" fillId="4" borderId="0" xfId="0" applyFont="1" applyFill="1" applyAlignment="1">
      <alignment horizontal="left" vertical="center"/>
    </xf>
    <xf numFmtId="0" fontId="3" fillId="4" borderId="0" xfId="0" applyFont="1" applyFill="1" applyAlignment="1">
      <alignment horizontal="center" vertical="center"/>
    </xf>
    <xf numFmtId="168" fontId="9" fillId="4" borderId="0" xfId="0" applyNumberFormat="1" applyFont="1" applyFill="1" applyAlignment="1">
      <alignment horizontal="left" vertical="center"/>
    </xf>
    <xf numFmtId="0" fontId="13" fillId="5" borderId="0" xfId="0" applyFont="1" applyFill="1" applyAlignment="1">
      <alignment horizontal="center" vertical="center"/>
    </xf>
    <xf numFmtId="0" fontId="11" fillId="5" borderId="0" xfId="0" applyFont="1" applyFill="1" applyAlignment="1">
      <alignment horizontal="center" vertical="center"/>
    </xf>
    <xf numFmtId="0" fontId="12" fillId="5" borderId="0" xfId="0" applyFont="1" applyFill="1" applyAlignment="1">
      <alignment horizontal="center" vertical="center"/>
    </xf>
    <xf numFmtId="0" fontId="5" fillId="5" borderId="0" xfId="0" applyFont="1" applyFill="1" applyAlignment="1">
      <alignment horizontal="left" vertical="center"/>
    </xf>
    <xf numFmtId="3" fontId="6" fillId="4" borderId="0" xfId="0" applyNumberFormat="1" applyFont="1" applyFill="1" applyAlignment="1">
      <alignment horizontal="left" vertical="center"/>
    </xf>
    <xf numFmtId="166" fontId="8" fillId="4" borderId="0" xfId="0" applyNumberFormat="1" applyFont="1" applyFill="1" applyAlignment="1">
      <alignment horizontal="left" vertical="center"/>
    </xf>
    <xf numFmtId="167" fontId="10" fillId="4" borderId="0" xfId="0" applyNumberFormat="1" applyFont="1" applyFill="1" applyAlignment="1">
      <alignment horizontal="left" vertical="center"/>
    </xf>
    <xf numFmtId="3" fontId="4" fillId="4" borderId="0" xfId="0" applyNumberFormat="1" applyFont="1" applyFill="1" applyAlignment="1">
      <alignment horizontal="left" vertical="center"/>
    </xf>
    <xf numFmtId="0" fontId="14" fillId="7" borderId="0" xfId="0" applyFont="1" applyFill="1" applyAlignment="1">
      <alignment horizontal="left" vertical="center"/>
    </xf>
    <xf numFmtId="0" fontId="0" fillId="7" borderId="0" xfId="0" applyFill="1" applyAlignment="1">
      <alignment horizontal="left" vertical="center"/>
    </xf>
    <xf numFmtId="0" fontId="0" fillId="8" borderId="0" xfId="0" applyFill="1"/>
    <xf numFmtId="0" fontId="0" fillId="6" borderId="0" xfId="0" applyNumberFormat="1" applyFill="1"/>
    <xf numFmtId="0" fontId="18" fillId="8" borderId="0" xfId="0" applyFont="1" applyFill="1"/>
  </cellXfs>
  <cellStyles count="1">
    <cellStyle name="Normal" xfId="0" builtinId="0"/>
  </cellStyles>
  <dxfs count="82">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s>
  <tableStyles count="0" defaultTableStyle="TableStyleMedium9" defaultPivotStyle="PivotStyleLight16"/>
  <colors>
    <mruColors>
      <color rgb="FF03002E"/>
      <color rgb="FF0000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[Startup_Funding_Dashboard.xlsx]Pivots!ptStage</c:name>
    <c:fmtId val="8"/>
  </c:pivotSource>
  <c:chart>
    <c:title>
      <c:tx>
        <c:rich>
          <a:bodyPr/>
          <a:lstStyle/>
          <a:p>
            <a:pPr>
              <a:defRPr/>
            </a:pPr>
            <a:r>
              <a:rPr lang="en-IN"/>
              <a:t>FUNDING SHARE BY STAGE</a:t>
            </a:r>
          </a:p>
        </c:rich>
      </c:tx>
      <c:overlay val="0"/>
    </c:title>
    <c:autoTitleDeleted val="0"/>
    <c:pivotFmts>
      <c:pivotFmt>
        <c:idx val="0"/>
        <c:marker>
          <c:symbol val="none"/>
        </c:marker>
        <c:dLbl>
          <c:idx val="0"/>
          <c:spPr>
            <a:noFill/>
            <a:ln>
              <a:noFill/>
            </a:ln>
            <a:effectLst/>
          </c:spPr>
          <c:txPr>
            <a:bodyPr wrap="square" lIns="38100" tIns="19050" rIns="38100" bIns="19050" anchor="ctr">
              <a:spAutoFit/>
            </a:bodyPr>
            <a:lstStyle/>
            <a:p>
              <a:pPr>
                <a:defRPr sz="900" b="1">
                  <a:solidFill>
                    <a:srgbClr val="FFFFFF"/>
                  </a:solidFill>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3884FF"/>
          </a:solidFill>
        </c:spPr>
      </c:pivotFmt>
      <c:pivotFmt>
        <c:idx val="2"/>
        <c:spPr>
          <a:solidFill>
            <a:srgbClr val="1EC8B4"/>
          </a:solidFill>
        </c:spPr>
      </c:pivotFmt>
      <c:pivotFmt>
        <c:idx val="3"/>
        <c:spPr>
          <a:solidFill>
            <a:srgbClr val="F5A623"/>
          </a:solidFill>
        </c:spPr>
      </c:pivotFmt>
      <c:pivotFmt>
        <c:idx val="4"/>
        <c:spPr>
          <a:solidFill>
            <a:srgbClr val="8B6EF6"/>
          </a:solidFill>
        </c:spPr>
      </c:pivotFmt>
      <c:pivotFmt>
        <c:idx val="5"/>
        <c:spPr>
          <a:solidFill>
            <a:srgbClr val="F05A6E"/>
          </a:solidFill>
        </c:spPr>
      </c:pivotFmt>
      <c:pivotFmt>
        <c:idx val="6"/>
        <c:marker>
          <c:symbol val="none"/>
        </c:marker>
        <c:dLbl>
          <c:idx val="0"/>
          <c:spPr>
            <a:noFill/>
            <a:ln>
              <a:noFill/>
            </a:ln>
            <a:effectLst/>
          </c:spPr>
          <c:txPr>
            <a:bodyPr wrap="square" lIns="38100" tIns="19050" rIns="38100" bIns="19050" anchor="ctr">
              <a:spAutoFit/>
            </a:bodyPr>
            <a:lstStyle/>
            <a:p>
              <a:pPr>
                <a:defRPr sz="900" b="1">
                  <a:solidFill>
                    <a:srgbClr val="FFFFFF"/>
                  </a:solidFill>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3884FF"/>
          </a:solidFill>
        </c:spPr>
      </c:pivotFmt>
      <c:pivotFmt>
        <c:idx val="8"/>
        <c:spPr>
          <a:solidFill>
            <a:srgbClr val="1EC8B4"/>
          </a:solidFill>
        </c:spPr>
      </c:pivotFmt>
      <c:pivotFmt>
        <c:idx val="9"/>
        <c:spPr>
          <a:solidFill>
            <a:srgbClr val="F5A623"/>
          </a:solidFill>
        </c:spPr>
      </c:pivotFmt>
      <c:pivotFmt>
        <c:idx val="10"/>
        <c:spPr>
          <a:solidFill>
            <a:srgbClr val="8B6EF6"/>
          </a:solidFill>
        </c:spPr>
      </c:pivotFmt>
      <c:pivotFmt>
        <c:idx val="11"/>
        <c:spPr>
          <a:solidFill>
            <a:srgbClr val="F05A6E"/>
          </a:solidFill>
        </c:spPr>
      </c:pivotFmt>
      <c:pivotFmt>
        <c:idx val="12"/>
        <c:marker>
          <c:symbol val="none"/>
        </c:marker>
        <c:dLbl>
          <c:idx val="0"/>
          <c:spPr>
            <a:noFill/>
            <a:ln>
              <a:noFill/>
            </a:ln>
            <a:effectLst/>
          </c:spPr>
          <c:txPr>
            <a:bodyPr wrap="square" lIns="38100" tIns="19050" rIns="38100" bIns="19050" anchor="ctr">
              <a:spAutoFit/>
            </a:bodyPr>
            <a:lstStyle/>
            <a:p>
              <a:pPr>
                <a:defRPr sz="900" b="1">
                  <a:solidFill>
                    <a:srgbClr val="FFFFFF"/>
                  </a:solidFill>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rgbClr val="3884FF"/>
          </a:solidFill>
        </c:spPr>
      </c:pivotFmt>
      <c:pivotFmt>
        <c:idx val="14"/>
        <c:spPr>
          <a:solidFill>
            <a:srgbClr val="1EC8B4"/>
          </a:solidFill>
        </c:spPr>
      </c:pivotFmt>
      <c:pivotFmt>
        <c:idx val="15"/>
        <c:spPr>
          <a:solidFill>
            <a:srgbClr val="F5A623"/>
          </a:solidFill>
        </c:spPr>
      </c:pivotFmt>
      <c:pivotFmt>
        <c:idx val="16"/>
        <c:spPr>
          <a:solidFill>
            <a:srgbClr val="8B6EF6"/>
          </a:solidFill>
        </c:spPr>
      </c:pivotFmt>
      <c:pivotFmt>
        <c:idx val="17"/>
        <c:spPr>
          <a:solidFill>
            <a:srgbClr val="F05A6E"/>
          </a:solidFill>
        </c:spPr>
      </c:pivotFmt>
    </c:pivotFmts>
    <c:plotArea>
      <c:layout/>
      <c:doughnutChart>
        <c:varyColors val="1"/>
        <c:ser>
          <c:idx val="0"/>
          <c:order val="0"/>
          <c:tx>
            <c:strRef>
              <c:f>Pivots!$G$7</c:f>
              <c:strCache>
                <c:ptCount val="1"/>
                <c:pt idx="0">
                  <c:v>Total</c:v>
                </c:pt>
              </c:strCache>
            </c:strRef>
          </c:tx>
          <c:dPt>
            <c:idx val="0"/>
            <c:bubble3D val="0"/>
            <c:spPr>
              <a:solidFill>
                <a:srgbClr val="3884FF"/>
              </a:solidFill>
            </c:spPr>
            <c:extLst>
              <c:ext xmlns:c16="http://schemas.microsoft.com/office/drawing/2014/chart" uri="{C3380CC4-5D6E-409C-BE32-E72D297353CC}">
                <c16:uniqueId val="{00000001-3989-4FC3-B8EC-96494E7A56B6}"/>
              </c:ext>
            </c:extLst>
          </c:dPt>
          <c:dPt>
            <c:idx val="1"/>
            <c:bubble3D val="0"/>
            <c:spPr>
              <a:solidFill>
                <a:srgbClr val="1EC8B4"/>
              </a:solidFill>
            </c:spPr>
            <c:extLst>
              <c:ext xmlns:c16="http://schemas.microsoft.com/office/drawing/2014/chart" uri="{C3380CC4-5D6E-409C-BE32-E72D297353CC}">
                <c16:uniqueId val="{00000003-3989-4FC3-B8EC-96494E7A56B6}"/>
              </c:ext>
            </c:extLst>
          </c:dPt>
          <c:dPt>
            <c:idx val="2"/>
            <c:bubble3D val="0"/>
            <c:spPr>
              <a:solidFill>
                <a:srgbClr val="F5A623"/>
              </a:solidFill>
            </c:spPr>
            <c:extLst>
              <c:ext xmlns:c16="http://schemas.microsoft.com/office/drawing/2014/chart" uri="{C3380CC4-5D6E-409C-BE32-E72D297353CC}">
                <c16:uniqueId val="{00000005-3989-4FC3-B8EC-96494E7A56B6}"/>
              </c:ext>
            </c:extLst>
          </c:dPt>
          <c:dPt>
            <c:idx val="3"/>
            <c:bubble3D val="0"/>
            <c:spPr>
              <a:solidFill>
                <a:srgbClr val="8B6EF6"/>
              </a:solidFill>
            </c:spPr>
            <c:extLst>
              <c:ext xmlns:c16="http://schemas.microsoft.com/office/drawing/2014/chart" uri="{C3380CC4-5D6E-409C-BE32-E72D297353CC}">
                <c16:uniqueId val="{00000007-3989-4FC3-B8EC-96494E7A56B6}"/>
              </c:ext>
            </c:extLst>
          </c:dPt>
          <c:dPt>
            <c:idx val="4"/>
            <c:bubble3D val="0"/>
            <c:spPr>
              <a:solidFill>
                <a:srgbClr val="F05A6E"/>
              </a:solidFill>
            </c:spPr>
            <c:extLst>
              <c:ext xmlns:c16="http://schemas.microsoft.com/office/drawing/2014/chart" uri="{C3380CC4-5D6E-409C-BE32-E72D297353CC}">
                <c16:uniqueId val="{00000009-3989-4FC3-B8EC-96494E7A56B6}"/>
              </c:ext>
            </c:extLst>
          </c:dPt>
          <c:dLbls>
            <c:spPr>
              <a:noFill/>
              <a:ln>
                <a:noFill/>
              </a:ln>
              <a:effectLst/>
            </c:spPr>
            <c:txPr>
              <a:bodyPr wrap="square" lIns="38100" tIns="19050" rIns="38100" bIns="19050" anchor="ctr">
                <a:spAutoFit/>
              </a:bodyPr>
              <a:lstStyle/>
              <a:p>
                <a:pPr>
                  <a:defRPr sz="900" b="1">
                    <a:solidFill>
                      <a:srgbClr val="FFFFFF"/>
                    </a:solidFill>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Pivots!$F$8:$F$13</c:f>
              <c:strCache>
                <c:ptCount val="5"/>
                <c:pt idx="0">
                  <c:v>Seed</c:v>
                </c:pt>
                <c:pt idx="1">
                  <c:v>Series A</c:v>
                </c:pt>
                <c:pt idx="2">
                  <c:v>Series B</c:v>
                </c:pt>
                <c:pt idx="3">
                  <c:v>Series C</c:v>
                </c:pt>
                <c:pt idx="4">
                  <c:v>Series D+</c:v>
                </c:pt>
              </c:strCache>
            </c:strRef>
          </c:cat>
          <c:val>
            <c:numRef>
              <c:f>Pivots!$G$8:$G$13</c:f>
              <c:numCache>
                <c:formatCode>\$#,##0.0</c:formatCode>
                <c:ptCount val="5"/>
                <c:pt idx="0">
                  <c:v>517.90000000000009</c:v>
                </c:pt>
                <c:pt idx="1">
                  <c:v>2068.8000000000002</c:v>
                </c:pt>
                <c:pt idx="2">
                  <c:v>4090.9000000000005</c:v>
                </c:pt>
                <c:pt idx="3">
                  <c:v>8294.6</c:v>
                </c:pt>
                <c:pt idx="4">
                  <c:v>16650.7</c:v>
                </c:pt>
              </c:numCache>
            </c:numRef>
          </c:val>
          <c:extLst>
            <c:ext xmlns:c16="http://schemas.microsoft.com/office/drawing/2014/chart" uri="{C3380CC4-5D6E-409C-BE32-E72D297353CC}">
              <c16:uniqueId val="{0000000A-3989-4FC3-B8EC-96494E7A56B6}"/>
            </c:ext>
          </c:extLst>
        </c:ser>
        <c:dLbls>
          <c:showLegendKey val="0"/>
          <c:showVal val="0"/>
          <c:showCatName val="0"/>
          <c:showSerName val="0"/>
          <c:showPercent val="0"/>
          <c:showBubbleSize val="0"/>
          <c:showLeaderLines val="0"/>
        </c:dLbls>
        <c:firstSliceAng val="0"/>
        <c:holeSize val="52"/>
      </c:doughnutChart>
      <c:spPr>
        <a:noFill/>
        <a:extLst>
          <a:ext uri="{909E8E84-426E-40DD-AFC4-6F175D3DCCD1}">
            <a14:hiddenFill xmlns:a14="http://schemas.microsoft.com/office/drawing/2010/main">
              <a:noFill/>
            </a14:hiddenFill>
          </a:ext>
        </a:extLst>
      </c:spPr>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41D34"/>
    </a:solidFill>
    <a:ln>
      <a:solidFill>
        <a:srgbClr val="FFC000"/>
      </a:solidFill>
    </a:ln>
  </c:spPr>
  <c:txPr>
    <a:bodyPr/>
    <a:lstStyle/>
    <a:p>
      <a:pPr>
        <a:defRPr sz="900">
          <a:solidFill>
            <a:srgbClr val="CED6E9"/>
          </a:solidFill>
          <a:latin typeface="Calibri"/>
          <a:ea typeface="Calibri"/>
          <a:cs typeface="Calibri"/>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[Startup_Funding_Dashboard.xlsx]Pivots!ptYear</c:name>
    <c:fmtId val="12"/>
  </c:pivotSource>
  <c:chart>
    <c:title>
      <c:tx>
        <c:rich>
          <a:bodyPr/>
          <a:lstStyle/>
          <a:p>
            <a:pPr>
              <a:defRPr/>
            </a:pPr>
            <a:r>
              <a:rPr lang="en-IN"/>
              <a:t>FUNDING TREND BY YEAR ($M)</a:t>
            </a:r>
          </a:p>
        </c:rich>
      </c:tx>
      <c:overlay val="0"/>
    </c:title>
    <c:autoTitleDeleted val="0"/>
    <c:pivotFmts>
      <c:pivotFmt>
        <c:idx val="0"/>
        <c:spPr>
          <a:solidFill>
            <a:srgbClr val="1EC8B4">
              <a:alpha val="45000"/>
            </a:srgbClr>
          </a:solidFill>
          <a:ln w="31750">
            <a:solidFill>
              <a:srgbClr val="1EC8B4"/>
            </a:solidFill>
          </a:ln>
        </c:spPr>
        <c:marker>
          <c:symbol val="none"/>
        </c:marker>
        <c:dLbl>
          <c:idx val="0"/>
          <c:numFmt formatCode="\$#,##0.0&quot;M&quot;" sourceLinked="0"/>
          <c:spPr>
            <a:noFill/>
            <a:ln>
              <a:noFill/>
            </a:ln>
            <a:effectLst/>
          </c:spPr>
          <c:txPr>
            <a:bodyPr wrap="square" lIns="38100" tIns="19050" rIns="38100" bIns="19050" anchor="ctr">
              <a:spAutoFit/>
            </a:bodyPr>
            <a:lstStyle/>
            <a:p>
              <a:pPr>
                <a:defRPr sz="800" b="1">
                  <a:solidFill>
                    <a:srgbClr val="78EBDC"/>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1EC8B4">
              <a:alpha val="45000"/>
            </a:srgbClr>
          </a:solidFill>
          <a:ln w="31750">
            <a:solidFill>
              <a:srgbClr val="1EC8B4"/>
            </a:solidFill>
          </a:ln>
        </c:spPr>
        <c:marker>
          <c:symbol val="none"/>
        </c:marker>
        <c:dLbl>
          <c:idx val="0"/>
          <c:numFmt formatCode="\$#,##0.0&quot;M&quot;" sourceLinked="0"/>
          <c:spPr>
            <a:noFill/>
            <a:ln>
              <a:noFill/>
            </a:ln>
            <a:effectLst/>
          </c:spPr>
          <c:txPr>
            <a:bodyPr wrap="square" lIns="38100" tIns="19050" rIns="38100" bIns="19050" anchor="ctr">
              <a:spAutoFit/>
            </a:bodyPr>
            <a:lstStyle/>
            <a:p>
              <a:pPr>
                <a:defRPr sz="800" b="1">
                  <a:solidFill>
                    <a:srgbClr val="78EBDC"/>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1EC8B4">
              <a:alpha val="45000"/>
            </a:srgbClr>
          </a:solidFill>
          <a:ln w="31750">
            <a:solidFill>
              <a:srgbClr val="1EC8B4"/>
            </a:solidFill>
          </a:ln>
        </c:spPr>
        <c:marker>
          <c:symbol val="none"/>
        </c:marker>
        <c:dLbl>
          <c:idx val="0"/>
          <c:numFmt formatCode="\$#,##0.0&quot;M&quot;" sourceLinked="0"/>
          <c:spPr>
            <a:noFill/>
            <a:ln>
              <a:noFill/>
            </a:ln>
            <a:effectLst/>
          </c:spPr>
          <c:txPr>
            <a:bodyPr wrap="square" lIns="38100" tIns="19050" rIns="38100" bIns="19050" anchor="ctr">
              <a:spAutoFit/>
            </a:bodyPr>
            <a:lstStyle/>
            <a:p>
              <a:pPr>
                <a:defRPr sz="800" b="1">
                  <a:solidFill>
                    <a:srgbClr val="78EBDC"/>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Pivots!$K$7</c:f>
              <c:strCache>
                <c:ptCount val="1"/>
                <c:pt idx="0">
                  <c:v>Total</c:v>
                </c:pt>
              </c:strCache>
            </c:strRef>
          </c:tx>
          <c:spPr>
            <a:solidFill>
              <a:srgbClr val="1EC8B4">
                <a:alpha val="45000"/>
              </a:srgbClr>
            </a:solidFill>
            <a:ln w="31750">
              <a:solidFill>
                <a:srgbClr val="1EC8B4"/>
              </a:solidFill>
            </a:ln>
          </c:spPr>
          <c:dLbls>
            <c:numFmt formatCode="\$#,##0.0&quot;M&quot;" sourceLinked="0"/>
            <c:spPr>
              <a:noFill/>
              <a:ln>
                <a:noFill/>
              </a:ln>
              <a:effectLst/>
            </c:spPr>
            <c:txPr>
              <a:bodyPr wrap="square" lIns="38100" tIns="19050" rIns="38100" bIns="19050" anchor="ctr">
                <a:spAutoFit/>
              </a:bodyPr>
              <a:lstStyle/>
              <a:p>
                <a:pPr>
                  <a:defRPr sz="800" b="1">
                    <a:solidFill>
                      <a:srgbClr val="78EBDC"/>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Pivots!$J$8:$J$14</c:f>
              <c:strCache>
                <c:ptCount val="6"/>
                <c:pt idx="0">
                  <c:v>2019</c:v>
                </c:pt>
                <c:pt idx="1">
                  <c:v>2020</c:v>
                </c:pt>
                <c:pt idx="2">
                  <c:v>2021</c:v>
                </c:pt>
                <c:pt idx="3">
                  <c:v>2022</c:v>
                </c:pt>
                <c:pt idx="4">
                  <c:v>2023</c:v>
                </c:pt>
                <c:pt idx="5">
                  <c:v>2024</c:v>
                </c:pt>
              </c:strCache>
            </c:strRef>
          </c:cat>
          <c:val>
            <c:numRef>
              <c:f>Pivots!$K$8:$K$14</c:f>
              <c:numCache>
                <c:formatCode>\$#,##0.0</c:formatCode>
                <c:ptCount val="6"/>
                <c:pt idx="0">
                  <c:v>5156.5999999999995</c:v>
                </c:pt>
                <c:pt idx="1">
                  <c:v>6919.7999999999975</c:v>
                </c:pt>
                <c:pt idx="2">
                  <c:v>5074.8</c:v>
                </c:pt>
                <c:pt idx="3">
                  <c:v>4989.1999999999989</c:v>
                </c:pt>
                <c:pt idx="4">
                  <c:v>5079.4000000000005</c:v>
                </c:pt>
                <c:pt idx="5">
                  <c:v>4403.1000000000004</c:v>
                </c:pt>
              </c:numCache>
            </c:numRef>
          </c:val>
          <c:extLst>
            <c:ext xmlns:c16="http://schemas.microsoft.com/office/drawing/2014/chart" uri="{C3380CC4-5D6E-409C-BE32-E72D297353CC}">
              <c16:uniqueId val="{00000000-3752-4165-A6D4-1153FB9024DA}"/>
            </c:ext>
          </c:extLst>
        </c:ser>
        <c:dLbls>
          <c:showLegendKey val="0"/>
          <c:showVal val="0"/>
          <c:showCatName val="0"/>
          <c:showSerName val="0"/>
          <c:showPercent val="0"/>
          <c:showBubbleSize val="0"/>
        </c:dLbls>
        <c:axId val="292552016"/>
        <c:axId val="193340592"/>
      </c:areaChart>
      <c:catAx>
        <c:axId val="292552016"/>
        <c:scaling>
          <c:orientation val="minMax"/>
        </c:scaling>
        <c:delete val="0"/>
        <c:axPos val="b"/>
        <c:numFmt formatCode="General" sourceLinked="1"/>
        <c:majorTickMark val="out"/>
        <c:minorTickMark val="none"/>
        <c:tickLblPos val="nextTo"/>
        <c:spPr>
          <a:ln>
            <a:solidFill>
              <a:srgbClr val="263250"/>
            </a:solidFill>
          </a:ln>
        </c:spPr>
        <c:txPr>
          <a:bodyPr/>
          <a:lstStyle/>
          <a:p>
            <a:pPr>
              <a:defRPr sz="800">
                <a:solidFill>
                  <a:srgbClr val="CED6E9"/>
                </a:solidFill>
              </a:defRPr>
            </a:pPr>
            <a:endParaRPr lang="en-US"/>
          </a:p>
        </c:txPr>
        <c:crossAx val="193340592"/>
        <c:crosses val="autoZero"/>
        <c:auto val="1"/>
        <c:lblAlgn val="ctr"/>
        <c:lblOffset val="100"/>
        <c:noMultiLvlLbl val="0"/>
      </c:catAx>
      <c:valAx>
        <c:axId val="193340592"/>
        <c:scaling>
          <c:orientation val="minMax"/>
        </c:scaling>
        <c:delete val="0"/>
        <c:axPos val="l"/>
        <c:majorGridlines>
          <c:spPr>
            <a:ln>
              <a:solidFill>
                <a:srgbClr val="263250"/>
              </a:solidFill>
            </a:ln>
          </c:spPr>
        </c:majorGridlines>
        <c:numFmt formatCode="\$#,##0.0" sourceLinked="1"/>
        <c:majorTickMark val="out"/>
        <c:minorTickMark val="none"/>
        <c:tickLblPos val="nextTo"/>
        <c:txPr>
          <a:bodyPr/>
          <a:lstStyle/>
          <a:p>
            <a:pPr>
              <a:defRPr sz="800">
                <a:solidFill>
                  <a:srgbClr val="8A94AF"/>
                </a:solidFill>
              </a:defRPr>
            </a:pPr>
            <a:endParaRPr lang="en-US"/>
          </a:p>
        </c:txPr>
        <c:crossAx val="292552016"/>
        <c:crosses val="autoZero"/>
        <c:crossBetween val="midCat"/>
      </c:valAx>
      <c:spPr>
        <a:noFill/>
        <a:extLst>
          <a:ext uri="{909E8E84-426E-40DD-AFC4-6F175D3DCCD1}">
            <a14:hiddenFill xmlns:a14="http://schemas.microsoft.com/office/drawing/2010/main">
              <a:solidFill>
                <a:sysClr val="window" lastClr="FFFFFF"/>
              </a:solidFill>
            </a14:hiddenFill>
          </a:ext>
        </a:ex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41D34"/>
    </a:solidFill>
    <a:ln>
      <a:solidFill>
        <a:schemeClr val="accent6"/>
      </a:solidFill>
    </a:ln>
  </c:spPr>
  <c:txPr>
    <a:bodyPr/>
    <a:lstStyle/>
    <a:p>
      <a:pPr>
        <a:defRPr sz="900">
          <a:solidFill>
            <a:srgbClr val="CED6E9"/>
          </a:solidFill>
          <a:latin typeface="Calibri"/>
          <a:ea typeface="Calibri"/>
          <a:cs typeface="Calibri"/>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[Startup_Funding_Dashboard.xlsx]Pivots!ptCity</c:name>
    <c:fmtId val="9"/>
  </c:pivotSource>
  <c:chart>
    <c:title>
      <c:tx>
        <c:rich>
          <a:bodyPr/>
          <a:lstStyle/>
          <a:p>
            <a:pPr>
              <a:defRPr/>
            </a:pPr>
            <a:r>
              <a:rPr lang="en-IN"/>
              <a:t>TOP CITIES BY FUNDING ($M)</a:t>
            </a:r>
          </a:p>
        </c:rich>
      </c:tx>
      <c:overlay val="0"/>
    </c:title>
    <c:autoTitleDeleted val="0"/>
    <c:pivotFmts>
      <c:pivotFmt>
        <c:idx val="0"/>
        <c:spPr>
          <a:solidFill>
            <a:srgbClr val="3884FF"/>
          </a:solidFill>
        </c:spPr>
        <c:marker>
          <c:symbol val="none"/>
        </c:marker>
        <c:dLbl>
          <c:idx val="0"/>
          <c:numFmt formatCode="\$#,##0.0&quot;M&quot;" sourceLinked="0"/>
          <c:spPr>
            <a:noFill/>
            <a:ln>
              <a:noFill/>
            </a:ln>
            <a:effectLst/>
          </c:spPr>
          <c:txPr>
            <a:bodyPr wrap="square" lIns="38100" tIns="19050" rIns="38100" bIns="19050" anchor="ctr">
              <a:spAutoFit/>
            </a:bodyPr>
            <a:lstStyle/>
            <a:p>
              <a:pPr>
                <a:defRPr sz="800" b="1">
                  <a:solidFill>
                    <a:srgbClr val="CED6E9"/>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3884FF"/>
          </a:solidFill>
        </c:spPr>
        <c:marker>
          <c:symbol val="none"/>
        </c:marker>
        <c:dLbl>
          <c:idx val="0"/>
          <c:numFmt formatCode="\$#,##0.0&quot;M&quot;" sourceLinked="0"/>
          <c:spPr>
            <a:noFill/>
            <a:ln>
              <a:noFill/>
            </a:ln>
            <a:effectLst/>
          </c:spPr>
          <c:txPr>
            <a:bodyPr wrap="square" lIns="38100" tIns="19050" rIns="38100" bIns="19050" anchor="ctr">
              <a:spAutoFit/>
            </a:bodyPr>
            <a:lstStyle/>
            <a:p>
              <a:pPr>
                <a:defRPr sz="800" b="1">
                  <a:solidFill>
                    <a:srgbClr val="CED6E9"/>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3884FF"/>
          </a:solidFill>
        </c:spPr>
        <c:marker>
          <c:symbol val="none"/>
        </c:marker>
        <c:dLbl>
          <c:idx val="0"/>
          <c:numFmt formatCode="\$#,##0.0&quot;M&quot;" sourceLinked="0"/>
          <c:spPr>
            <a:noFill/>
            <a:ln>
              <a:noFill/>
            </a:ln>
            <a:effectLst/>
          </c:spPr>
          <c:txPr>
            <a:bodyPr wrap="square" lIns="38100" tIns="19050" rIns="38100" bIns="19050" anchor="ctr">
              <a:spAutoFit/>
            </a:bodyPr>
            <a:lstStyle/>
            <a:p>
              <a:pPr>
                <a:defRPr sz="800" b="1">
                  <a:solidFill>
                    <a:srgbClr val="CED6E9"/>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Pivots!$O$7</c:f>
              <c:strCache>
                <c:ptCount val="1"/>
                <c:pt idx="0">
                  <c:v>Total</c:v>
                </c:pt>
              </c:strCache>
            </c:strRef>
          </c:tx>
          <c:spPr>
            <a:solidFill>
              <a:srgbClr val="3884FF"/>
            </a:solidFill>
          </c:spPr>
          <c:invertIfNegative val="0"/>
          <c:dLbls>
            <c:numFmt formatCode="\$#,##0.0&quot;M&quot;" sourceLinked="0"/>
            <c:spPr>
              <a:noFill/>
              <a:ln>
                <a:noFill/>
              </a:ln>
              <a:effectLst/>
            </c:spPr>
            <c:txPr>
              <a:bodyPr wrap="square" lIns="38100" tIns="19050" rIns="38100" bIns="19050" anchor="ctr">
                <a:spAutoFit/>
              </a:bodyPr>
              <a:lstStyle/>
              <a:p>
                <a:pPr>
                  <a:defRPr sz="800" b="1">
                    <a:solidFill>
                      <a:srgbClr val="CED6E9"/>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Pivots!$N$8:$N$17</c:f>
              <c:strCache>
                <c:ptCount val="9"/>
                <c:pt idx="0">
                  <c:v>Bengaluru</c:v>
                </c:pt>
                <c:pt idx="1">
                  <c:v>Delhi NCR</c:v>
                </c:pt>
                <c:pt idx="2">
                  <c:v>Mumbai</c:v>
                </c:pt>
                <c:pt idx="3">
                  <c:v>Hyderabad</c:v>
                </c:pt>
                <c:pt idx="4">
                  <c:v>Pune</c:v>
                </c:pt>
                <c:pt idx="5">
                  <c:v>Chennai</c:v>
                </c:pt>
                <c:pt idx="6">
                  <c:v>Ahmedabad</c:v>
                </c:pt>
                <c:pt idx="7">
                  <c:v>Kolkata</c:v>
                </c:pt>
                <c:pt idx="8">
                  <c:v>Jaipur</c:v>
                </c:pt>
              </c:strCache>
            </c:strRef>
          </c:cat>
          <c:val>
            <c:numRef>
              <c:f>Pivots!$O$8:$O$17</c:f>
              <c:numCache>
                <c:formatCode>\$#,##0.0</c:formatCode>
                <c:ptCount val="9"/>
                <c:pt idx="0">
                  <c:v>8507.6</c:v>
                </c:pt>
                <c:pt idx="1">
                  <c:v>7273.8</c:v>
                </c:pt>
                <c:pt idx="2">
                  <c:v>5814.7000000000007</c:v>
                </c:pt>
                <c:pt idx="3">
                  <c:v>3398.5999999999995</c:v>
                </c:pt>
                <c:pt idx="4">
                  <c:v>2163.3000000000006</c:v>
                </c:pt>
                <c:pt idx="5">
                  <c:v>1643.1000000000001</c:v>
                </c:pt>
                <c:pt idx="6">
                  <c:v>1490</c:v>
                </c:pt>
                <c:pt idx="7">
                  <c:v>1101.9999999999998</c:v>
                </c:pt>
                <c:pt idx="8">
                  <c:v>229.8</c:v>
                </c:pt>
              </c:numCache>
            </c:numRef>
          </c:val>
          <c:extLst>
            <c:ext xmlns:c16="http://schemas.microsoft.com/office/drawing/2014/chart" uri="{C3380CC4-5D6E-409C-BE32-E72D297353CC}">
              <c16:uniqueId val="{00000000-2D88-4747-A882-EFF22ACA941C}"/>
            </c:ext>
          </c:extLst>
        </c:ser>
        <c:dLbls>
          <c:showLegendKey val="0"/>
          <c:showVal val="0"/>
          <c:showCatName val="0"/>
          <c:showSerName val="0"/>
          <c:showPercent val="0"/>
          <c:showBubbleSize val="0"/>
        </c:dLbls>
        <c:gapWidth val="150"/>
        <c:axId val="292551552"/>
        <c:axId val="193343952"/>
      </c:barChart>
      <c:catAx>
        <c:axId val="292551552"/>
        <c:scaling>
          <c:orientation val="maxMin"/>
        </c:scaling>
        <c:delete val="0"/>
        <c:axPos val="l"/>
        <c:numFmt formatCode="General" sourceLinked="1"/>
        <c:majorTickMark val="out"/>
        <c:minorTickMark val="none"/>
        <c:tickLblPos val="nextTo"/>
        <c:spPr>
          <a:ln>
            <a:solidFill>
              <a:srgbClr val="263250"/>
            </a:solidFill>
          </a:ln>
        </c:spPr>
        <c:txPr>
          <a:bodyPr/>
          <a:lstStyle/>
          <a:p>
            <a:pPr>
              <a:defRPr sz="800">
                <a:solidFill>
                  <a:srgbClr val="CED6E9"/>
                </a:solidFill>
              </a:defRPr>
            </a:pPr>
            <a:endParaRPr lang="en-US"/>
          </a:p>
        </c:txPr>
        <c:crossAx val="193343952"/>
        <c:crosses val="autoZero"/>
        <c:auto val="1"/>
        <c:lblAlgn val="ctr"/>
        <c:lblOffset val="100"/>
        <c:noMultiLvlLbl val="0"/>
      </c:catAx>
      <c:valAx>
        <c:axId val="193343952"/>
        <c:scaling>
          <c:orientation val="minMax"/>
        </c:scaling>
        <c:delete val="0"/>
        <c:axPos val="t"/>
        <c:majorGridlines>
          <c:spPr>
            <a:ln>
              <a:solidFill>
                <a:srgbClr val="263250"/>
              </a:solidFill>
            </a:ln>
          </c:spPr>
        </c:majorGridlines>
        <c:numFmt formatCode="\$#,##0.0" sourceLinked="1"/>
        <c:majorTickMark val="out"/>
        <c:minorTickMark val="none"/>
        <c:tickLblPos val="nextTo"/>
        <c:txPr>
          <a:bodyPr/>
          <a:lstStyle/>
          <a:p>
            <a:pPr>
              <a:defRPr sz="800">
                <a:solidFill>
                  <a:srgbClr val="8A94AF"/>
                </a:solidFill>
              </a:defRPr>
            </a:pPr>
            <a:endParaRPr lang="en-US"/>
          </a:p>
        </c:txPr>
        <c:crossAx val="292551552"/>
        <c:crosses val="autoZero"/>
        <c:crossBetween val="between"/>
      </c:valAx>
      <c:spPr>
        <a:noFill/>
        <a:extLst>
          <a:ext uri="{909E8E84-426E-40DD-AFC4-6F175D3DCCD1}">
            <a14:hiddenFill xmlns:a14="http://schemas.microsoft.com/office/drawing/2010/main">
              <a:solidFill>
                <a:sysClr val="window" lastClr="FFFFFF"/>
              </a:solidFill>
            </a14:hiddenFill>
          </a:ext>
        </a:ex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41D34"/>
    </a:solidFill>
    <a:ln>
      <a:solidFill>
        <a:schemeClr val="accent6"/>
      </a:solidFill>
    </a:ln>
  </c:spPr>
  <c:txPr>
    <a:bodyPr/>
    <a:lstStyle/>
    <a:p>
      <a:pPr>
        <a:defRPr sz="900">
          <a:solidFill>
            <a:srgbClr val="CED6E9"/>
          </a:solidFill>
          <a:latin typeface="Calibri"/>
          <a:ea typeface="Calibri"/>
          <a:cs typeface="Calibri"/>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[Startup_Funding_Dashboard.xlsx]Pivots!ptSecCnt</c:name>
    <c:fmtId val="8"/>
  </c:pivotSource>
  <c:chart>
    <c:title>
      <c:tx>
        <c:rich>
          <a:bodyPr/>
          <a:lstStyle/>
          <a:p>
            <a:pPr>
              <a:defRPr/>
            </a:pPr>
            <a:r>
              <a:rPr lang="en-IN"/>
              <a:t>NUMBER OF DEALS BY SECTOR</a:t>
            </a:r>
          </a:p>
        </c:rich>
      </c:tx>
      <c:overlay val="0"/>
    </c:title>
    <c:autoTitleDeleted val="0"/>
    <c:pivotFmts>
      <c:pivotFmt>
        <c:idx val="0"/>
        <c:spPr>
          <a:solidFill>
            <a:srgbClr val="26C485"/>
          </a:solidFill>
        </c:spPr>
        <c:marker>
          <c:symbol val="none"/>
        </c:marker>
        <c:dLbl>
          <c:idx val="0"/>
          <c:numFmt formatCode="#,##0" sourceLinked="0"/>
          <c:spPr>
            <a:noFill/>
            <a:ln>
              <a:noFill/>
            </a:ln>
            <a:effectLst/>
          </c:spPr>
          <c:txPr>
            <a:bodyPr wrap="square" lIns="38100" tIns="19050" rIns="38100" bIns="19050" anchor="ctr">
              <a:spAutoFit/>
            </a:bodyPr>
            <a:lstStyle/>
            <a:p>
              <a:pPr>
                <a:defRPr sz="800" b="1">
                  <a:solidFill>
                    <a:srgbClr val="CED6E9"/>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26C485"/>
          </a:solidFill>
        </c:spPr>
        <c:marker>
          <c:symbol val="none"/>
        </c:marker>
        <c:dLbl>
          <c:idx val="0"/>
          <c:numFmt formatCode="#,##0" sourceLinked="0"/>
          <c:spPr>
            <a:noFill/>
            <a:ln>
              <a:noFill/>
            </a:ln>
            <a:effectLst/>
          </c:spPr>
          <c:txPr>
            <a:bodyPr wrap="square" lIns="38100" tIns="19050" rIns="38100" bIns="19050" anchor="ctr">
              <a:spAutoFit/>
            </a:bodyPr>
            <a:lstStyle/>
            <a:p>
              <a:pPr>
                <a:defRPr sz="800" b="1">
                  <a:solidFill>
                    <a:srgbClr val="CED6E9"/>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26C485"/>
          </a:solidFill>
        </c:spPr>
        <c:marker>
          <c:symbol val="none"/>
        </c:marker>
        <c:dLbl>
          <c:idx val="0"/>
          <c:numFmt formatCode="#,##0" sourceLinked="0"/>
          <c:spPr>
            <a:noFill/>
            <a:ln>
              <a:noFill/>
            </a:ln>
            <a:effectLst/>
          </c:spPr>
          <c:txPr>
            <a:bodyPr wrap="square" lIns="38100" tIns="19050" rIns="38100" bIns="19050" anchor="ctr">
              <a:spAutoFit/>
            </a:bodyPr>
            <a:lstStyle/>
            <a:p>
              <a:pPr>
                <a:defRPr sz="800" b="1">
                  <a:solidFill>
                    <a:srgbClr val="CED6E9"/>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Pivots!$S$7</c:f>
              <c:strCache>
                <c:ptCount val="1"/>
                <c:pt idx="0">
                  <c:v>Total</c:v>
                </c:pt>
              </c:strCache>
            </c:strRef>
          </c:tx>
          <c:spPr>
            <a:solidFill>
              <a:srgbClr val="26C485"/>
            </a:solidFill>
          </c:spPr>
          <c:invertIfNegative val="0"/>
          <c:dLbls>
            <c:numFmt formatCode="#,##0" sourceLinked="0"/>
            <c:spPr>
              <a:noFill/>
              <a:ln>
                <a:noFill/>
              </a:ln>
              <a:effectLst/>
            </c:spPr>
            <c:txPr>
              <a:bodyPr wrap="square" lIns="38100" tIns="19050" rIns="38100" bIns="19050" anchor="ctr">
                <a:spAutoFit/>
              </a:bodyPr>
              <a:lstStyle/>
              <a:p>
                <a:pPr>
                  <a:defRPr sz="800" b="1">
                    <a:solidFill>
                      <a:srgbClr val="CED6E9"/>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Pivots!$R$8:$R$20</c:f>
              <c:strCache>
                <c:ptCount val="12"/>
                <c:pt idx="0">
                  <c:v>Fintech</c:v>
                </c:pt>
                <c:pt idx="1">
                  <c:v>SaaS</c:v>
                </c:pt>
                <c:pt idx="2">
                  <c:v>E-commerce</c:v>
                </c:pt>
                <c:pt idx="3">
                  <c:v>Healthtech</c:v>
                </c:pt>
                <c:pt idx="4">
                  <c:v>Edtech</c:v>
                </c:pt>
                <c:pt idx="5">
                  <c:v>AI/ML</c:v>
                </c:pt>
                <c:pt idx="6">
                  <c:v>Logistics</c:v>
                </c:pt>
                <c:pt idx="7">
                  <c:v>Foodtech</c:v>
                </c:pt>
                <c:pt idx="8">
                  <c:v>Agritech</c:v>
                </c:pt>
                <c:pt idx="9">
                  <c:v>Mobility</c:v>
                </c:pt>
                <c:pt idx="10">
                  <c:v>Gaming</c:v>
                </c:pt>
                <c:pt idx="11">
                  <c:v>Cleantech</c:v>
                </c:pt>
              </c:strCache>
            </c:strRef>
          </c:cat>
          <c:val>
            <c:numRef>
              <c:f>Pivots!$S$8:$S$20</c:f>
              <c:numCache>
                <c:formatCode>General</c:formatCode>
                <c:ptCount val="12"/>
                <c:pt idx="0">
                  <c:v>102</c:v>
                </c:pt>
                <c:pt idx="1">
                  <c:v>98</c:v>
                </c:pt>
                <c:pt idx="2">
                  <c:v>89</c:v>
                </c:pt>
                <c:pt idx="3">
                  <c:v>79</c:v>
                </c:pt>
                <c:pt idx="4">
                  <c:v>67</c:v>
                </c:pt>
                <c:pt idx="5">
                  <c:v>56</c:v>
                </c:pt>
                <c:pt idx="6">
                  <c:v>50</c:v>
                </c:pt>
                <c:pt idx="7">
                  <c:v>44</c:v>
                </c:pt>
                <c:pt idx="8">
                  <c:v>33</c:v>
                </c:pt>
                <c:pt idx="9">
                  <c:v>32</c:v>
                </c:pt>
                <c:pt idx="10">
                  <c:v>30</c:v>
                </c:pt>
                <c:pt idx="11">
                  <c:v>20</c:v>
                </c:pt>
              </c:numCache>
            </c:numRef>
          </c:val>
          <c:extLst>
            <c:ext xmlns:c16="http://schemas.microsoft.com/office/drawing/2014/chart" uri="{C3380CC4-5D6E-409C-BE32-E72D297353CC}">
              <c16:uniqueId val="{00000000-03AA-4315-95BD-23B30FE0CB9C}"/>
            </c:ext>
          </c:extLst>
        </c:ser>
        <c:dLbls>
          <c:showLegendKey val="0"/>
          <c:showVal val="0"/>
          <c:showCatName val="0"/>
          <c:showSerName val="0"/>
          <c:showPercent val="0"/>
          <c:showBubbleSize val="0"/>
        </c:dLbls>
        <c:gapWidth val="150"/>
        <c:axId val="323046736"/>
        <c:axId val="193346832"/>
      </c:barChart>
      <c:catAx>
        <c:axId val="323046736"/>
        <c:scaling>
          <c:orientation val="minMax"/>
        </c:scaling>
        <c:delete val="0"/>
        <c:axPos val="b"/>
        <c:numFmt formatCode="General" sourceLinked="1"/>
        <c:majorTickMark val="out"/>
        <c:minorTickMark val="none"/>
        <c:tickLblPos val="nextTo"/>
        <c:spPr>
          <a:ln>
            <a:solidFill>
              <a:srgbClr val="263250"/>
            </a:solidFill>
          </a:ln>
        </c:spPr>
        <c:txPr>
          <a:bodyPr/>
          <a:lstStyle/>
          <a:p>
            <a:pPr>
              <a:defRPr sz="800">
                <a:solidFill>
                  <a:srgbClr val="CED6E9"/>
                </a:solidFill>
              </a:defRPr>
            </a:pPr>
            <a:endParaRPr lang="en-US"/>
          </a:p>
        </c:txPr>
        <c:crossAx val="193346832"/>
        <c:crosses val="autoZero"/>
        <c:auto val="1"/>
        <c:lblAlgn val="ctr"/>
        <c:lblOffset val="100"/>
        <c:noMultiLvlLbl val="0"/>
      </c:catAx>
      <c:valAx>
        <c:axId val="193346832"/>
        <c:scaling>
          <c:orientation val="minMax"/>
        </c:scaling>
        <c:delete val="0"/>
        <c:axPos val="l"/>
        <c:majorGridlines>
          <c:spPr>
            <a:ln>
              <a:solidFill>
                <a:srgbClr val="263250"/>
              </a:solidFill>
            </a:ln>
          </c:spPr>
        </c:majorGridlines>
        <c:numFmt formatCode="General" sourceLinked="1"/>
        <c:majorTickMark val="out"/>
        <c:minorTickMark val="none"/>
        <c:tickLblPos val="nextTo"/>
        <c:txPr>
          <a:bodyPr/>
          <a:lstStyle/>
          <a:p>
            <a:pPr>
              <a:defRPr sz="800">
                <a:solidFill>
                  <a:srgbClr val="8A94AF"/>
                </a:solidFill>
              </a:defRPr>
            </a:pPr>
            <a:endParaRPr lang="en-US"/>
          </a:p>
        </c:txPr>
        <c:crossAx val="323046736"/>
        <c:crosses val="autoZero"/>
        <c:crossBetween val="between"/>
      </c:valAx>
      <c:spPr>
        <a:noFill/>
        <a:extLst>
          <a:ext uri="{909E8E84-426E-40DD-AFC4-6F175D3DCCD1}">
            <a14:hiddenFill xmlns:a14="http://schemas.microsoft.com/office/drawing/2010/main">
              <a:solidFill>
                <a:sysClr val="window" lastClr="FFFFFF"/>
              </a:solidFill>
            </a14:hiddenFill>
          </a:ext>
        </a:ex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41D34"/>
    </a:solidFill>
    <a:ln>
      <a:solidFill>
        <a:schemeClr val="accent6"/>
      </a:solidFill>
    </a:ln>
  </c:spPr>
  <c:txPr>
    <a:bodyPr/>
    <a:lstStyle/>
    <a:p>
      <a:pPr>
        <a:defRPr sz="900">
          <a:solidFill>
            <a:srgbClr val="CED6E9"/>
          </a:solidFill>
          <a:latin typeface="Calibri"/>
          <a:ea typeface="Calibri"/>
          <a:cs typeface="Calibri"/>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[Startup_Funding_Dashboard.xlsx]Pivots!ptTopCo</c:name>
    <c:fmtId val="12"/>
  </c:pivotSource>
  <c:chart>
    <c:title>
      <c:tx>
        <c:rich>
          <a:bodyPr/>
          <a:lstStyle/>
          <a:p>
            <a:pPr>
              <a:defRPr/>
            </a:pPr>
            <a:r>
              <a:rPr lang="en-IN"/>
              <a:t>TOP 10 FUNDED STARTUPS ($M)</a:t>
            </a:r>
          </a:p>
        </c:rich>
      </c:tx>
      <c:overlay val="0"/>
    </c:title>
    <c:autoTitleDeleted val="0"/>
    <c:pivotFmts>
      <c:pivotFmt>
        <c:idx val="0"/>
        <c:spPr>
          <a:solidFill>
            <a:srgbClr val="F05A6E"/>
          </a:solidFill>
        </c:spPr>
        <c:marker>
          <c:symbol val="none"/>
        </c:marker>
        <c:dLbl>
          <c:idx val="0"/>
          <c:numFmt formatCode="\$#,##0.0&quot;M&quot;" sourceLinked="0"/>
          <c:spPr>
            <a:noFill/>
            <a:ln>
              <a:noFill/>
            </a:ln>
            <a:effectLst/>
          </c:spPr>
          <c:txPr>
            <a:bodyPr wrap="square" lIns="38100" tIns="19050" rIns="38100" bIns="19050" anchor="ctr">
              <a:spAutoFit/>
            </a:bodyPr>
            <a:lstStyle/>
            <a:p>
              <a:pPr>
                <a:defRPr sz="800" b="1">
                  <a:solidFill>
                    <a:srgbClr val="CED6E9"/>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05A6E"/>
          </a:solidFill>
        </c:spPr>
        <c:marker>
          <c:symbol val="none"/>
        </c:marker>
        <c:dLbl>
          <c:idx val="0"/>
          <c:numFmt formatCode="\$#,##0.0&quot;M&quot;" sourceLinked="0"/>
          <c:spPr>
            <a:noFill/>
            <a:ln>
              <a:noFill/>
            </a:ln>
            <a:effectLst/>
          </c:spPr>
          <c:txPr>
            <a:bodyPr wrap="square" lIns="38100" tIns="19050" rIns="38100" bIns="19050" anchor="ctr">
              <a:spAutoFit/>
            </a:bodyPr>
            <a:lstStyle/>
            <a:p>
              <a:pPr>
                <a:defRPr sz="800" b="1">
                  <a:solidFill>
                    <a:srgbClr val="CED6E9"/>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05A6E"/>
          </a:solidFill>
        </c:spPr>
        <c:marker>
          <c:symbol val="none"/>
        </c:marker>
        <c:dLbl>
          <c:idx val="0"/>
          <c:numFmt formatCode="\$#,##0.0&quot;M&quot;" sourceLinked="0"/>
          <c:spPr>
            <a:noFill/>
            <a:ln>
              <a:noFill/>
            </a:ln>
            <a:effectLst/>
          </c:spPr>
          <c:txPr>
            <a:bodyPr wrap="square" lIns="38100" tIns="19050" rIns="38100" bIns="19050" anchor="ctr">
              <a:spAutoFit/>
            </a:bodyPr>
            <a:lstStyle/>
            <a:p>
              <a:pPr>
                <a:defRPr sz="800" b="1">
                  <a:solidFill>
                    <a:srgbClr val="CED6E9"/>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05A6E"/>
          </a:solidFill>
        </c:spPr>
        <c:marker>
          <c:symbol val="none"/>
        </c:marker>
        <c:dLbl>
          <c:idx val="0"/>
          <c:numFmt formatCode="\$#,##0.0&quot;M&quot;" sourceLinked="0"/>
          <c:spPr>
            <a:noFill/>
            <a:ln>
              <a:noFill/>
            </a:ln>
            <a:effectLst/>
          </c:spPr>
          <c:txPr>
            <a:bodyPr wrap="square" lIns="38100" tIns="19050" rIns="38100" bIns="19050" anchor="ctr">
              <a:spAutoFit/>
            </a:bodyPr>
            <a:lstStyle/>
            <a:p>
              <a:pPr>
                <a:defRPr sz="800" b="1">
                  <a:solidFill>
                    <a:srgbClr val="CED6E9"/>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Pivots!$W$7</c:f>
              <c:strCache>
                <c:ptCount val="1"/>
                <c:pt idx="0">
                  <c:v>Total</c:v>
                </c:pt>
              </c:strCache>
            </c:strRef>
          </c:tx>
          <c:spPr>
            <a:solidFill>
              <a:srgbClr val="F05A6E"/>
            </a:solidFill>
          </c:spPr>
          <c:invertIfNegative val="0"/>
          <c:dLbls>
            <c:numFmt formatCode="\$#,##0.0&quot;M&quot;" sourceLinked="0"/>
            <c:spPr>
              <a:noFill/>
              <a:ln>
                <a:noFill/>
              </a:ln>
              <a:effectLst/>
            </c:spPr>
            <c:txPr>
              <a:bodyPr wrap="square" lIns="38100" tIns="19050" rIns="38100" bIns="19050" anchor="ctr">
                <a:spAutoFit/>
              </a:bodyPr>
              <a:lstStyle/>
              <a:p>
                <a:pPr>
                  <a:defRPr sz="800" b="1">
                    <a:solidFill>
                      <a:srgbClr val="CED6E9"/>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Pivots!$V$8:$V$18</c:f>
              <c:strCache>
                <c:ptCount val="10"/>
                <c:pt idx="0">
                  <c:v>PrimeSphere</c:v>
                </c:pt>
                <c:pt idx="1">
                  <c:v>AstraGrid</c:v>
                </c:pt>
                <c:pt idx="2">
                  <c:v>CartLoop</c:v>
                </c:pt>
                <c:pt idx="3">
                  <c:v>PeakLoop</c:v>
                </c:pt>
                <c:pt idx="4">
                  <c:v>FinGrid</c:v>
                </c:pt>
                <c:pt idx="5">
                  <c:v>HyperLearn</c:v>
                </c:pt>
                <c:pt idx="6">
                  <c:v>FluxFlow</c:v>
                </c:pt>
                <c:pt idx="7">
                  <c:v>SnapPay</c:v>
                </c:pt>
                <c:pt idx="8">
                  <c:v>OrbitLearn</c:v>
                </c:pt>
                <c:pt idx="9">
                  <c:v>CartGenix</c:v>
                </c:pt>
              </c:strCache>
            </c:strRef>
          </c:cat>
          <c:val>
            <c:numRef>
              <c:f>Pivots!$W$8:$W$18</c:f>
              <c:numCache>
                <c:formatCode>\$#,##0.0</c:formatCode>
                <c:ptCount val="10"/>
                <c:pt idx="0">
                  <c:v>494.1</c:v>
                </c:pt>
                <c:pt idx="1">
                  <c:v>459.9</c:v>
                </c:pt>
                <c:pt idx="2">
                  <c:v>403.8</c:v>
                </c:pt>
                <c:pt idx="3">
                  <c:v>391.4</c:v>
                </c:pt>
                <c:pt idx="4">
                  <c:v>385.5</c:v>
                </c:pt>
                <c:pt idx="5">
                  <c:v>382.3</c:v>
                </c:pt>
                <c:pt idx="6">
                  <c:v>381.5</c:v>
                </c:pt>
                <c:pt idx="7">
                  <c:v>378.3</c:v>
                </c:pt>
                <c:pt idx="8">
                  <c:v>371.2</c:v>
                </c:pt>
                <c:pt idx="9">
                  <c:v>364.7</c:v>
                </c:pt>
              </c:numCache>
            </c:numRef>
          </c:val>
          <c:extLst>
            <c:ext xmlns:c16="http://schemas.microsoft.com/office/drawing/2014/chart" uri="{C3380CC4-5D6E-409C-BE32-E72D297353CC}">
              <c16:uniqueId val="{00000000-8A39-4FFE-AB12-19D0670440CB}"/>
            </c:ext>
          </c:extLst>
        </c:ser>
        <c:dLbls>
          <c:showLegendKey val="0"/>
          <c:showVal val="0"/>
          <c:showCatName val="0"/>
          <c:showSerName val="0"/>
          <c:showPercent val="0"/>
          <c:showBubbleSize val="0"/>
        </c:dLbls>
        <c:gapWidth val="150"/>
        <c:axId val="323042560"/>
        <c:axId val="193354992"/>
      </c:barChart>
      <c:catAx>
        <c:axId val="323042560"/>
        <c:scaling>
          <c:orientation val="maxMin"/>
        </c:scaling>
        <c:delete val="0"/>
        <c:axPos val="l"/>
        <c:numFmt formatCode="General" sourceLinked="1"/>
        <c:majorTickMark val="out"/>
        <c:minorTickMark val="none"/>
        <c:tickLblPos val="nextTo"/>
        <c:spPr>
          <a:ln>
            <a:solidFill>
              <a:srgbClr val="263250"/>
            </a:solidFill>
          </a:ln>
        </c:spPr>
        <c:txPr>
          <a:bodyPr/>
          <a:lstStyle/>
          <a:p>
            <a:pPr>
              <a:defRPr sz="800">
                <a:solidFill>
                  <a:srgbClr val="CED6E9"/>
                </a:solidFill>
              </a:defRPr>
            </a:pPr>
            <a:endParaRPr lang="en-US"/>
          </a:p>
        </c:txPr>
        <c:crossAx val="193354992"/>
        <c:crosses val="autoZero"/>
        <c:auto val="1"/>
        <c:lblAlgn val="ctr"/>
        <c:lblOffset val="100"/>
        <c:noMultiLvlLbl val="0"/>
      </c:catAx>
      <c:valAx>
        <c:axId val="193354992"/>
        <c:scaling>
          <c:orientation val="minMax"/>
        </c:scaling>
        <c:delete val="0"/>
        <c:axPos val="t"/>
        <c:majorGridlines>
          <c:spPr>
            <a:ln>
              <a:solidFill>
                <a:srgbClr val="263250"/>
              </a:solidFill>
            </a:ln>
          </c:spPr>
        </c:majorGridlines>
        <c:numFmt formatCode="\$#,##0.0" sourceLinked="1"/>
        <c:majorTickMark val="out"/>
        <c:minorTickMark val="none"/>
        <c:tickLblPos val="nextTo"/>
        <c:txPr>
          <a:bodyPr/>
          <a:lstStyle/>
          <a:p>
            <a:pPr>
              <a:defRPr sz="800">
                <a:solidFill>
                  <a:srgbClr val="8A94AF"/>
                </a:solidFill>
              </a:defRPr>
            </a:pPr>
            <a:endParaRPr lang="en-US"/>
          </a:p>
        </c:txPr>
        <c:crossAx val="323042560"/>
        <c:crosses val="autoZero"/>
        <c:crossBetween val="between"/>
      </c:valAx>
      <c:spPr>
        <a:noFill/>
        <a:extLst>
          <a:ext uri="{909E8E84-426E-40DD-AFC4-6F175D3DCCD1}">
            <a14:hiddenFill xmlns:a14="http://schemas.microsoft.com/office/drawing/2010/main">
              <a:solidFill>
                <a:sysClr val="window" lastClr="FFFFFF"/>
              </a:solidFill>
            </a14:hiddenFill>
          </a:ext>
        </a:ex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41D34"/>
    </a:solidFill>
    <a:ln>
      <a:solidFill>
        <a:schemeClr val="accent6"/>
      </a:solidFill>
    </a:ln>
  </c:spPr>
  <c:txPr>
    <a:bodyPr/>
    <a:lstStyle/>
    <a:p>
      <a:pPr>
        <a:defRPr sz="900">
          <a:solidFill>
            <a:srgbClr val="CED6E9"/>
          </a:solidFill>
          <a:latin typeface="Calibri"/>
          <a:ea typeface="Calibri"/>
          <a:cs typeface="Calibri"/>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[Startup_Funding_Dashboard.xlsx]Pivots!ptSector</c:name>
    <c:fmtId val="10"/>
  </c:pivotSource>
  <c:chart>
    <c:title>
      <c:tx>
        <c:rich>
          <a:bodyPr/>
          <a:lstStyle/>
          <a:p>
            <a:pPr>
              <a:defRPr/>
            </a:pPr>
            <a:r>
              <a:rPr lang="en-IN"/>
              <a:t>TOTAL FUNDING BY SECTOR ($M)</a:t>
            </a:r>
          </a:p>
        </c:rich>
      </c:tx>
      <c:overlay val="0"/>
    </c:title>
    <c:autoTitleDeleted val="0"/>
    <c:pivotFmts>
      <c:pivotFmt>
        <c:idx val="0"/>
        <c:spPr>
          <a:solidFill>
            <a:srgbClr val="8B6EF6"/>
          </a:solidFill>
        </c:spPr>
        <c:marker>
          <c:symbol val="none"/>
        </c:marker>
        <c:dLbl>
          <c:idx val="0"/>
          <c:numFmt formatCode="\$#,##0.0&quot;M&quot;" sourceLinked="0"/>
          <c:spPr>
            <a:noFill/>
            <a:ln>
              <a:noFill/>
            </a:ln>
            <a:effectLst/>
          </c:spPr>
          <c:txPr>
            <a:bodyPr wrap="square" lIns="38100" tIns="19050" rIns="38100" bIns="19050" anchor="ctr">
              <a:spAutoFit/>
            </a:bodyPr>
            <a:lstStyle/>
            <a:p>
              <a:pPr>
                <a:defRPr sz="800" b="1">
                  <a:solidFill>
                    <a:srgbClr val="CED6E9"/>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8B6EF6"/>
          </a:solidFill>
        </c:spPr>
        <c:marker>
          <c:symbol val="none"/>
        </c:marker>
        <c:dLbl>
          <c:idx val="0"/>
          <c:numFmt formatCode="\$#,##0.0&quot;M&quot;" sourceLinked="0"/>
          <c:spPr>
            <a:noFill/>
            <a:ln>
              <a:noFill/>
            </a:ln>
            <a:effectLst/>
          </c:spPr>
          <c:txPr>
            <a:bodyPr wrap="square" lIns="38100" tIns="19050" rIns="38100" bIns="19050" anchor="ctr">
              <a:spAutoFit/>
            </a:bodyPr>
            <a:lstStyle/>
            <a:p>
              <a:pPr>
                <a:defRPr sz="800" b="1">
                  <a:solidFill>
                    <a:srgbClr val="CED6E9"/>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8B6EF6"/>
          </a:solidFill>
        </c:spPr>
        <c:marker>
          <c:symbol val="none"/>
        </c:marker>
        <c:dLbl>
          <c:idx val="0"/>
          <c:numFmt formatCode="\$#,##0.0&quot;M&quot;" sourceLinked="0"/>
          <c:spPr>
            <a:noFill/>
            <a:ln>
              <a:noFill/>
            </a:ln>
            <a:effectLst/>
          </c:spPr>
          <c:txPr>
            <a:bodyPr wrap="square" lIns="38100" tIns="19050" rIns="38100" bIns="19050" anchor="ctr">
              <a:spAutoFit/>
            </a:bodyPr>
            <a:lstStyle/>
            <a:p>
              <a:pPr>
                <a:defRPr sz="800" b="1">
                  <a:solidFill>
                    <a:srgbClr val="CED6E9"/>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Pivots!$C$7</c:f>
              <c:strCache>
                <c:ptCount val="1"/>
                <c:pt idx="0">
                  <c:v>Total</c:v>
                </c:pt>
              </c:strCache>
            </c:strRef>
          </c:tx>
          <c:spPr>
            <a:solidFill>
              <a:srgbClr val="8B6EF6"/>
            </a:solidFill>
          </c:spPr>
          <c:invertIfNegative val="0"/>
          <c:dLbls>
            <c:numFmt formatCode="\$#,##0.0&quot;M&quot;" sourceLinked="0"/>
            <c:spPr>
              <a:noFill/>
              <a:ln>
                <a:noFill/>
              </a:ln>
              <a:effectLst/>
            </c:spPr>
            <c:txPr>
              <a:bodyPr wrap="square" lIns="38100" tIns="19050" rIns="38100" bIns="19050" anchor="ctr">
                <a:spAutoFit/>
              </a:bodyPr>
              <a:lstStyle/>
              <a:p>
                <a:pPr>
                  <a:defRPr sz="800" b="1">
                    <a:solidFill>
                      <a:srgbClr val="CED6E9"/>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Pivots!$B$8:$B$20</c:f>
              <c:strCache>
                <c:ptCount val="12"/>
                <c:pt idx="0">
                  <c:v>E-commerce</c:v>
                </c:pt>
                <c:pt idx="1">
                  <c:v>Fintech</c:v>
                </c:pt>
                <c:pt idx="2">
                  <c:v>Healthtech</c:v>
                </c:pt>
                <c:pt idx="3">
                  <c:v>SaaS</c:v>
                </c:pt>
                <c:pt idx="4">
                  <c:v>Edtech</c:v>
                </c:pt>
                <c:pt idx="5">
                  <c:v>AI/ML</c:v>
                </c:pt>
                <c:pt idx="6">
                  <c:v>Foodtech</c:v>
                </c:pt>
                <c:pt idx="7">
                  <c:v>Logistics</c:v>
                </c:pt>
                <c:pt idx="8">
                  <c:v>Mobility</c:v>
                </c:pt>
                <c:pt idx="9">
                  <c:v>Agritech</c:v>
                </c:pt>
                <c:pt idx="10">
                  <c:v>Cleantech</c:v>
                </c:pt>
                <c:pt idx="11">
                  <c:v>Gaming</c:v>
                </c:pt>
              </c:strCache>
            </c:strRef>
          </c:cat>
          <c:val>
            <c:numRef>
              <c:f>Pivots!$C$8:$C$20</c:f>
              <c:numCache>
                <c:formatCode>\$#,##0.0</c:formatCode>
                <c:ptCount val="12"/>
                <c:pt idx="0">
                  <c:v>6563.1</c:v>
                </c:pt>
                <c:pt idx="1">
                  <c:v>5497.5000000000036</c:v>
                </c:pt>
                <c:pt idx="2">
                  <c:v>4111.7</c:v>
                </c:pt>
                <c:pt idx="3">
                  <c:v>3852.8999999999996</c:v>
                </c:pt>
                <c:pt idx="4">
                  <c:v>2384.8000000000011</c:v>
                </c:pt>
                <c:pt idx="5">
                  <c:v>2072.2999999999997</c:v>
                </c:pt>
                <c:pt idx="6">
                  <c:v>1746.8000000000002</c:v>
                </c:pt>
                <c:pt idx="7">
                  <c:v>1536.5000000000005</c:v>
                </c:pt>
                <c:pt idx="8">
                  <c:v>1239.3999999999994</c:v>
                </c:pt>
                <c:pt idx="9">
                  <c:v>1153.9999999999998</c:v>
                </c:pt>
                <c:pt idx="10">
                  <c:v>757.4</c:v>
                </c:pt>
                <c:pt idx="11">
                  <c:v>706.50000000000011</c:v>
                </c:pt>
              </c:numCache>
            </c:numRef>
          </c:val>
          <c:extLst>
            <c:ext xmlns:c16="http://schemas.microsoft.com/office/drawing/2014/chart" uri="{C3380CC4-5D6E-409C-BE32-E72D297353CC}">
              <c16:uniqueId val="{00000000-1C61-4A62-9919-1B6E9CCD4DF3}"/>
            </c:ext>
          </c:extLst>
        </c:ser>
        <c:dLbls>
          <c:showLegendKey val="0"/>
          <c:showVal val="0"/>
          <c:showCatName val="0"/>
          <c:showSerName val="0"/>
          <c:showPercent val="0"/>
          <c:showBubbleSize val="0"/>
        </c:dLbls>
        <c:gapWidth val="150"/>
        <c:axId val="323894240"/>
        <c:axId val="193337712"/>
      </c:barChart>
      <c:catAx>
        <c:axId val="323894240"/>
        <c:scaling>
          <c:orientation val="maxMin"/>
        </c:scaling>
        <c:delete val="0"/>
        <c:axPos val="l"/>
        <c:numFmt formatCode="General" sourceLinked="1"/>
        <c:majorTickMark val="out"/>
        <c:minorTickMark val="none"/>
        <c:tickLblPos val="nextTo"/>
        <c:spPr>
          <a:ln>
            <a:solidFill>
              <a:srgbClr val="263250"/>
            </a:solidFill>
          </a:ln>
        </c:spPr>
        <c:txPr>
          <a:bodyPr/>
          <a:lstStyle/>
          <a:p>
            <a:pPr>
              <a:defRPr sz="800">
                <a:solidFill>
                  <a:srgbClr val="CED6E9"/>
                </a:solidFill>
              </a:defRPr>
            </a:pPr>
            <a:endParaRPr lang="en-US"/>
          </a:p>
        </c:txPr>
        <c:crossAx val="193337712"/>
        <c:crosses val="autoZero"/>
        <c:auto val="1"/>
        <c:lblAlgn val="ctr"/>
        <c:lblOffset val="100"/>
        <c:noMultiLvlLbl val="0"/>
      </c:catAx>
      <c:valAx>
        <c:axId val="193337712"/>
        <c:scaling>
          <c:orientation val="minMax"/>
        </c:scaling>
        <c:delete val="0"/>
        <c:axPos val="t"/>
        <c:majorGridlines>
          <c:spPr>
            <a:ln>
              <a:solidFill>
                <a:srgbClr val="263250"/>
              </a:solidFill>
            </a:ln>
          </c:spPr>
        </c:majorGridlines>
        <c:numFmt formatCode="\$#,##0.0" sourceLinked="1"/>
        <c:majorTickMark val="out"/>
        <c:minorTickMark val="none"/>
        <c:tickLblPos val="nextTo"/>
        <c:txPr>
          <a:bodyPr/>
          <a:lstStyle/>
          <a:p>
            <a:pPr>
              <a:defRPr sz="800">
                <a:solidFill>
                  <a:srgbClr val="8A94AF"/>
                </a:solidFill>
              </a:defRPr>
            </a:pPr>
            <a:endParaRPr lang="en-US"/>
          </a:p>
        </c:txPr>
        <c:crossAx val="323894240"/>
        <c:crosses val="autoZero"/>
        <c:crossBetween val="between"/>
      </c:valAx>
      <c:spPr>
        <a:noFill/>
        <a:extLst>
          <a:ext uri="{909E8E84-426E-40DD-AFC4-6F175D3DCCD1}">
            <a14:hiddenFill xmlns:a14="http://schemas.microsoft.com/office/drawing/2010/main">
              <a:solidFill>
                <a:sysClr val="window" lastClr="FFFFFF"/>
              </a:solidFill>
            </a14:hiddenFill>
          </a:ext>
        </a:ex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41D34"/>
    </a:solidFill>
    <a:ln>
      <a:solidFill>
        <a:schemeClr val="accent6"/>
      </a:solidFill>
    </a:ln>
    <a:effectLst>
      <a:outerShdw blurRad="50800" dist="38100" dir="2700000" algn="tl" rotWithShape="0">
        <a:prstClr val="black">
          <a:alpha val="40000"/>
        </a:prstClr>
      </a:outerShdw>
    </a:effectLst>
  </c:spPr>
  <c:txPr>
    <a:bodyPr/>
    <a:lstStyle/>
    <a:p>
      <a:pPr>
        <a:defRPr sz="900">
          <a:solidFill>
            <a:srgbClr val="CED6E9"/>
          </a:solidFill>
          <a:latin typeface="Calibri"/>
          <a:ea typeface="Calibri"/>
          <a:cs typeface="Calibri"/>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[Startup_Funding_Dashboard.xlsx]Pivots!ptStage</c:name>
    <c:fmtId val="0"/>
  </c:pivotSource>
  <c:chart>
    <c:title>
      <c:tx>
        <c:rich>
          <a:bodyPr/>
          <a:lstStyle/>
          <a:p>
            <a:pPr>
              <a:defRPr/>
            </a:pPr>
            <a:r>
              <a:rPr lang="en-IN"/>
              <a:t>FUNDING SHARE BY STAGE</a:t>
            </a:r>
          </a:p>
        </c:rich>
      </c:tx>
      <c:overlay val="0"/>
    </c:title>
    <c:autoTitleDeleted val="0"/>
    <c:pivotFmts>
      <c:pivotFmt>
        <c:idx val="0"/>
        <c:marker>
          <c:symbol val="none"/>
        </c:marker>
        <c:dLbl>
          <c:idx val="0"/>
          <c:spPr>
            <a:noFill/>
            <a:ln>
              <a:noFill/>
            </a:ln>
            <a:effectLst/>
          </c:spPr>
          <c:txPr>
            <a:bodyPr wrap="square" lIns="38100" tIns="19050" rIns="38100" bIns="19050" anchor="ctr">
              <a:spAutoFit/>
            </a:bodyPr>
            <a:lstStyle/>
            <a:p>
              <a:pPr>
                <a:defRPr sz="900" b="1">
                  <a:solidFill>
                    <a:srgbClr val="FFFFFF"/>
                  </a:solidFill>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3884FF"/>
          </a:solidFill>
        </c:spPr>
      </c:pivotFmt>
      <c:pivotFmt>
        <c:idx val="2"/>
        <c:spPr>
          <a:solidFill>
            <a:srgbClr val="1EC8B4"/>
          </a:solidFill>
        </c:spPr>
      </c:pivotFmt>
      <c:pivotFmt>
        <c:idx val="3"/>
        <c:spPr>
          <a:solidFill>
            <a:srgbClr val="F5A623"/>
          </a:solidFill>
        </c:spPr>
      </c:pivotFmt>
      <c:pivotFmt>
        <c:idx val="4"/>
        <c:spPr>
          <a:solidFill>
            <a:srgbClr val="8B6EF6"/>
          </a:solidFill>
        </c:spPr>
      </c:pivotFmt>
      <c:pivotFmt>
        <c:idx val="5"/>
        <c:spPr>
          <a:solidFill>
            <a:srgbClr val="F05A6E"/>
          </a:solidFill>
        </c:spPr>
      </c:pivotFmt>
    </c:pivotFmts>
    <c:plotArea>
      <c:layout/>
      <c:doughnutChart>
        <c:varyColors val="1"/>
        <c:ser>
          <c:idx val="0"/>
          <c:order val="0"/>
          <c:tx>
            <c:strRef>
              <c:f>Pivots!$G$7</c:f>
              <c:strCache>
                <c:ptCount val="1"/>
                <c:pt idx="0">
                  <c:v>Total</c:v>
                </c:pt>
              </c:strCache>
            </c:strRef>
          </c:tx>
          <c:dPt>
            <c:idx val="0"/>
            <c:bubble3D val="0"/>
            <c:spPr>
              <a:solidFill>
                <a:srgbClr val="3884FF"/>
              </a:solidFill>
            </c:spPr>
            <c:extLst>
              <c:ext xmlns:c16="http://schemas.microsoft.com/office/drawing/2014/chart" uri="{C3380CC4-5D6E-409C-BE32-E72D297353CC}">
                <c16:uniqueId val="{00000001-C06A-44B6-832D-B5FA9E9F51BD}"/>
              </c:ext>
            </c:extLst>
          </c:dPt>
          <c:dPt>
            <c:idx val="1"/>
            <c:bubble3D val="0"/>
            <c:spPr>
              <a:solidFill>
                <a:srgbClr val="1EC8B4"/>
              </a:solidFill>
            </c:spPr>
            <c:extLst>
              <c:ext xmlns:c16="http://schemas.microsoft.com/office/drawing/2014/chart" uri="{C3380CC4-5D6E-409C-BE32-E72D297353CC}">
                <c16:uniqueId val="{00000002-C06A-44B6-832D-B5FA9E9F51BD}"/>
              </c:ext>
            </c:extLst>
          </c:dPt>
          <c:dPt>
            <c:idx val="2"/>
            <c:bubble3D val="0"/>
            <c:spPr>
              <a:solidFill>
                <a:srgbClr val="F5A623"/>
              </a:solidFill>
            </c:spPr>
            <c:extLst>
              <c:ext xmlns:c16="http://schemas.microsoft.com/office/drawing/2014/chart" uri="{C3380CC4-5D6E-409C-BE32-E72D297353CC}">
                <c16:uniqueId val="{00000003-C06A-44B6-832D-B5FA9E9F51BD}"/>
              </c:ext>
            </c:extLst>
          </c:dPt>
          <c:dPt>
            <c:idx val="3"/>
            <c:bubble3D val="0"/>
            <c:spPr>
              <a:solidFill>
                <a:srgbClr val="8B6EF6"/>
              </a:solidFill>
            </c:spPr>
            <c:extLst>
              <c:ext xmlns:c16="http://schemas.microsoft.com/office/drawing/2014/chart" uri="{C3380CC4-5D6E-409C-BE32-E72D297353CC}">
                <c16:uniqueId val="{00000004-C06A-44B6-832D-B5FA9E9F51BD}"/>
              </c:ext>
            </c:extLst>
          </c:dPt>
          <c:dPt>
            <c:idx val="4"/>
            <c:bubble3D val="0"/>
            <c:spPr>
              <a:solidFill>
                <a:srgbClr val="F05A6E"/>
              </a:solidFill>
            </c:spPr>
            <c:extLst>
              <c:ext xmlns:c16="http://schemas.microsoft.com/office/drawing/2014/chart" uri="{C3380CC4-5D6E-409C-BE32-E72D297353CC}">
                <c16:uniqueId val="{00000005-C06A-44B6-832D-B5FA9E9F51BD}"/>
              </c:ext>
            </c:extLst>
          </c:dPt>
          <c:dLbls>
            <c:spPr>
              <a:noFill/>
              <a:ln>
                <a:noFill/>
              </a:ln>
              <a:effectLst/>
            </c:spPr>
            <c:txPr>
              <a:bodyPr wrap="square" lIns="38100" tIns="19050" rIns="38100" bIns="19050" anchor="ctr">
                <a:spAutoFit/>
              </a:bodyPr>
              <a:lstStyle/>
              <a:p>
                <a:pPr>
                  <a:defRPr sz="900" b="1">
                    <a:solidFill>
                      <a:srgbClr val="FFFFFF"/>
                    </a:solidFill>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Pivots!$F$8:$F$13</c:f>
              <c:strCache>
                <c:ptCount val="5"/>
                <c:pt idx="0">
                  <c:v>Seed</c:v>
                </c:pt>
                <c:pt idx="1">
                  <c:v>Series A</c:v>
                </c:pt>
                <c:pt idx="2">
                  <c:v>Series B</c:v>
                </c:pt>
                <c:pt idx="3">
                  <c:v>Series C</c:v>
                </c:pt>
                <c:pt idx="4">
                  <c:v>Series D+</c:v>
                </c:pt>
              </c:strCache>
            </c:strRef>
          </c:cat>
          <c:val>
            <c:numRef>
              <c:f>Pivots!$G$8:$G$13</c:f>
              <c:numCache>
                <c:formatCode>\$#,##0.0</c:formatCode>
                <c:ptCount val="5"/>
                <c:pt idx="0">
                  <c:v>517.90000000000009</c:v>
                </c:pt>
                <c:pt idx="1">
                  <c:v>2068.8000000000002</c:v>
                </c:pt>
                <c:pt idx="2">
                  <c:v>4090.9000000000005</c:v>
                </c:pt>
                <c:pt idx="3">
                  <c:v>8294.6</c:v>
                </c:pt>
                <c:pt idx="4">
                  <c:v>16650.7</c:v>
                </c:pt>
              </c:numCache>
            </c:numRef>
          </c:val>
          <c:extLst>
            <c:ext xmlns:c16="http://schemas.microsoft.com/office/drawing/2014/chart" uri="{C3380CC4-5D6E-409C-BE32-E72D297353CC}">
              <c16:uniqueId val="{00000000-C06A-44B6-832D-B5FA9E9F51BD}"/>
            </c:ext>
          </c:extLst>
        </c:ser>
        <c:dLbls>
          <c:showLegendKey val="0"/>
          <c:showVal val="0"/>
          <c:showCatName val="0"/>
          <c:showSerName val="0"/>
          <c:showPercent val="0"/>
          <c:showBubbleSize val="0"/>
          <c:showLeaderLines val="0"/>
        </c:dLbls>
        <c:firstSliceAng val="0"/>
        <c:holeSize val="52"/>
      </c:doughnutChart>
      <c:spPr>
        <a:noFill/>
        <a:extLst>
          <a:ext uri="{909E8E84-426E-40DD-AFC4-6F175D3DCCD1}">
            <a14:hiddenFill xmlns:a14="http://schemas.microsoft.com/office/drawing/2010/main">
              <a:noFill/>
            </a14:hiddenFill>
          </a:ext>
        </a:extLst>
      </c:spPr>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41D34"/>
    </a:solidFill>
    <a:ln>
      <a:solidFill>
        <a:srgbClr val="FFC000"/>
      </a:solidFill>
    </a:ln>
  </c:spPr>
  <c:txPr>
    <a:bodyPr/>
    <a:lstStyle/>
    <a:p>
      <a:pPr>
        <a:defRPr sz="900">
          <a:solidFill>
            <a:srgbClr val="CED6E9"/>
          </a:solidFill>
          <a:latin typeface="Calibri"/>
          <a:ea typeface="Calibri"/>
          <a:cs typeface="Calibri"/>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[Startup_Funding_Dashboard.xlsx]Pivots!ptYear</c:name>
    <c:fmtId val="0"/>
  </c:pivotSource>
  <c:chart>
    <c:title>
      <c:tx>
        <c:rich>
          <a:bodyPr/>
          <a:lstStyle/>
          <a:p>
            <a:pPr>
              <a:defRPr/>
            </a:pPr>
            <a:r>
              <a:rPr lang="en-IN"/>
              <a:t>FUNDING TREND BY YEAR ($M)</a:t>
            </a:r>
          </a:p>
        </c:rich>
      </c:tx>
      <c:overlay val="0"/>
    </c:title>
    <c:autoTitleDeleted val="0"/>
    <c:pivotFmts>
      <c:pivotFmt>
        <c:idx val="0"/>
        <c:spPr>
          <a:solidFill>
            <a:srgbClr val="1EC8B4">
              <a:alpha val="45000"/>
            </a:srgbClr>
          </a:solidFill>
          <a:ln w="31750">
            <a:solidFill>
              <a:srgbClr val="1EC8B4"/>
            </a:solidFill>
          </a:ln>
        </c:spPr>
        <c:marker>
          <c:symbol val="none"/>
        </c:marker>
        <c:dLbl>
          <c:idx val="0"/>
          <c:numFmt formatCode="\$#,##0.0&quot;M&quot;" sourceLinked="0"/>
          <c:spPr>
            <a:noFill/>
            <a:ln>
              <a:noFill/>
            </a:ln>
            <a:effectLst/>
          </c:spPr>
          <c:txPr>
            <a:bodyPr wrap="square" lIns="38100" tIns="19050" rIns="38100" bIns="19050" anchor="ctr">
              <a:spAutoFit/>
            </a:bodyPr>
            <a:lstStyle/>
            <a:p>
              <a:pPr>
                <a:defRPr sz="800" b="1">
                  <a:solidFill>
                    <a:srgbClr val="78EBDC"/>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Pivots!$K$7</c:f>
              <c:strCache>
                <c:ptCount val="1"/>
                <c:pt idx="0">
                  <c:v>Total</c:v>
                </c:pt>
              </c:strCache>
            </c:strRef>
          </c:tx>
          <c:spPr>
            <a:solidFill>
              <a:srgbClr val="1EC8B4">
                <a:alpha val="45000"/>
              </a:srgbClr>
            </a:solidFill>
            <a:ln w="31750">
              <a:solidFill>
                <a:srgbClr val="1EC8B4"/>
              </a:solidFill>
            </a:ln>
          </c:spPr>
          <c:dLbls>
            <c:numFmt formatCode="\$#,##0.0&quot;M&quot;" sourceLinked="0"/>
            <c:spPr>
              <a:noFill/>
              <a:ln>
                <a:noFill/>
              </a:ln>
              <a:effectLst/>
            </c:spPr>
            <c:txPr>
              <a:bodyPr wrap="square" lIns="38100" tIns="19050" rIns="38100" bIns="19050" anchor="ctr">
                <a:spAutoFit/>
              </a:bodyPr>
              <a:lstStyle/>
              <a:p>
                <a:pPr>
                  <a:defRPr sz="800" b="1">
                    <a:solidFill>
                      <a:srgbClr val="78EBDC"/>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Pivots!$J$8:$J$14</c:f>
              <c:strCache>
                <c:ptCount val="6"/>
                <c:pt idx="0">
                  <c:v>2019</c:v>
                </c:pt>
                <c:pt idx="1">
                  <c:v>2020</c:v>
                </c:pt>
                <c:pt idx="2">
                  <c:v>2021</c:v>
                </c:pt>
                <c:pt idx="3">
                  <c:v>2022</c:v>
                </c:pt>
                <c:pt idx="4">
                  <c:v>2023</c:v>
                </c:pt>
                <c:pt idx="5">
                  <c:v>2024</c:v>
                </c:pt>
              </c:strCache>
            </c:strRef>
          </c:cat>
          <c:val>
            <c:numRef>
              <c:f>Pivots!$K$8:$K$14</c:f>
              <c:numCache>
                <c:formatCode>\$#,##0.0</c:formatCode>
                <c:ptCount val="6"/>
                <c:pt idx="0">
                  <c:v>5156.5999999999995</c:v>
                </c:pt>
                <c:pt idx="1">
                  <c:v>6919.7999999999975</c:v>
                </c:pt>
                <c:pt idx="2">
                  <c:v>5074.8</c:v>
                </c:pt>
                <c:pt idx="3">
                  <c:v>4989.1999999999989</c:v>
                </c:pt>
                <c:pt idx="4">
                  <c:v>5079.4000000000005</c:v>
                </c:pt>
                <c:pt idx="5">
                  <c:v>4403.1000000000004</c:v>
                </c:pt>
              </c:numCache>
            </c:numRef>
          </c:val>
          <c:extLst>
            <c:ext xmlns:c16="http://schemas.microsoft.com/office/drawing/2014/chart" uri="{C3380CC4-5D6E-409C-BE32-E72D297353CC}">
              <c16:uniqueId val="{00000000-FF9E-42C8-97AA-8710A4A6071D}"/>
            </c:ext>
          </c:extLst>
        </c:ser>
        <c:dLbls>
          <c:showLegendKey val="0"/>
          <c:showVal val="0"/>
          <c:showCatName val="0"/>
          <c:showSerName val="0"/>
          <c:showPercent val="0"/>
          <c:showBubbleSize val="0"/>
        </c:dLbls>
        <c:axId val="292552016"/>
        <c:axId val="193340592"/>
      </c:areaChart>
      <c:catAx>
        <c:axId val="292552016"/>
        <c:scaling>
          <c:orientation val="minMax"/>
        </c:scaling>
        <c:delete val="0"/>
        <c:axPos val="b"/>
        <c:numFmt formatCode="General" sourceLinked="1"/>
        <c:majorTickMark val="out"/>
        <c:minorTickMark val="none"/>
        <c:tickLblPos val="nextTo"/>
        <c:spPr>
          <a:ln>
            <a:solidFill>
              <a:srgbClr val="263250"/>
            </a:solidFill>
          </a:ln>
        </c:spPr>
        <c:txPr>
          <a:bodyPr/>
          <a:lstStyle/>
          <a:p>
            <a:pPr>
              <a:defRPr sz="800">
                <a:solidFill>
                  <a:srgbClr val="CED6E9"/>
                </a:solidFill>
              </a:defRPr>
            </a:pPr>
            <a:endParaRPr lang="en-US"/>
          </a:p>
        </c:txPr>
        <c:crossAx val="193340592"/>
        <c:crosses val="autoZero"/>
        <c:auto val="1"/>
        <c:lblAlgn val="ctr"/>
        <c:lblOffset val="100"/>
        <c:noMultiLvlLbl val="0"/>
      </c:catAx>
      <c:valAx>
        <c:axId val="193340592"/>
        <c:scaling>
          <c:orientation val="minMax"/>
        </c:scaling>
        <c:delete val="0"/>
        <c:axPos val="l"/>
        <c:majorGridlines>
          <c:spPr>
            <a:ln>
              <a:solidFill>
                <a:srgbClr val="263250"/>
              </a:solidFill>
            </a:ln>
          </c:spPr>
        </c:majorGridlines>
        <c:numFmt formatCode="\$#,##0.0" sourceLinked="1"/>
        <c:majorTickMark val="out"/>
        <c:minorTickMark val="none"/>
        <c:tickLblPos val="nextTo"/>
        <c:txPr>
          <a:bodyPr/>
          <a:lstStyle/>
          <a:p>
            <a:pPr>
              <a:defRPr sz="800">
                <a:solidFill>
                  <a:srgbClr val="8A94AF"/>
                </a:solidFill>
              </a:defRPr>
            </a:pPr>
            <a:endParaRPr lang="en-US"/>
          </a:p>
        </c:txPr>
        <c:crossAx val="292552016"/>
        <c:crosses val="autoZero"/>
        <c:crossBetween val="midCat"/>
      </c:valAx>
      <c:spPr>
        <a:noFill/>
        <a:extLst>
          <a:ext uri="{909E8E84-426E-40DD-AFC4-6F175D3DCCD1}">
            <a14:hiddenFill xmlns:a14="http://schemas.microsoft.com/office/drawing/2010/main">
              <a:solidFill>
                <a:sysClr val="window" lastClr="FFFFFF"/>
              </a:solidFill>
            </a14:hiddenFill>
          </a:ext>
        </a:ex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41D34"/>
    </a:solidFill>
    <a:ln>
      <a:solidFill>
        <a:schemeClr val="accent6"/>
      </a:solidFill>
    </a:ln>
  </c:spPr>
  <c:txPr>
    <a:bodyPr/>
    <a:lstStyle/>
    <a:p>
      <a:pPr>
        <a:defRPr sz="900">
          <a:solidFill>
            <a:srgbClr val="CED6E9"/>
          </a:solidFill>
          <a:latin typeface="Calibri"/>
          <a:ea typeface="Calibri"/>
          <a:cs typeface="Calibri"/>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[Startup_Funding_Dashboard.xlsx]Pivots!ptCity</c:name>
    <c:fmtId val="0"/>
  </c:pivotSource>
  <c:chart>
    <c:title>
      <c:tx>
        <c:rich>
          <a:bodyPr/>
          <a:lstStyle/>
          <a:p>
            <a:pPr>
              <a:defRPr/>
            </a:pPr>
            <a:r>
              <a:rPr lang="en-IN"/>
              <a:t>TOP CITIES BY FUNDING ($M)</a:t>
            </a:r>
          </a:p>
        </c:rich>
      </c:tx>
      <c:overlay val="0"/>
    </c:title>
    <c:autoTitleDeleted val="0"/>
    <c:pivotFmts>
      <c:pivotFmt>
        <c:idx val="0"/>
        <c:spPr>
          <a:solidFill>
            <a:srgbClr val="3884FF"/>
          </a:solidFill>
        </c:spPr>
        <c:marker>
          <c:symbol val="none"/>
        </c:marker>
        <c:dLbl>
          <c:idx val="0"/>
          <c:numFmt formatCode="\$#,##0.0&quot;M&quot;" sourceLinked="0"/>
          <c:spPr>
            <a:noFill/>
            <a:ln>
              <a:noFill/>
            </a:ln>
            <a:effectLst/>
          </c:spPr>
          <c:txPr>
            <a:bodyPr wrap="square" lIns="38100" tIns="19050" rIns="38100" bIns="19050" anchor="ctr">
              <a:spAutoFit/>
            </a:bodyPr>
            <a:lstStyle/>
            <a:p>
              <a:pPr>
                <a:defRPr sz="800" b="1">
                  <a:solidFill>
                    <a:srgbClr val="CED6E9"/>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Pivots!$O$7</c:f>
              <c:strCache>
                <c:ptCount val="1"/>
                <c:pt idx="0">
                  <c:v>Total</c:v>
                </c:pt>
              </c:strCache>
            </c:strRef>
          </c:tx>
          <c:spPr>
            <a:solidFill>
              <a:srgbClr val="3884FF"/>
            </a:solidFill>
          </c:spPr>
          <c:invertIfNegative val="0"/>
          <c:dLbls>
            <c:numFmt formatCode="\$#,##0.0&quot;M&quot;" sourceLinked="0"/>
            <c:spPr>
              <a:noFill/>
              <a:ln>
                <a:noFill/>
              </a:ln>
              <a:effectLst/>
            </c:spPr>
            <c:txPr>
              <a:bodyPr wrap="square" lIns="38100" tIns="19050" rIns="38100" bIns="19050" anchor="ctr">
                <a:spAutoFit/>
              </a:bodyPr>
              <a:lstStyle/>
              <a:p>
                <a:pPr>
                  <a:defRPr sz="800" b="1">
                    <a:solidFill>
                      <a:srgbClr val="CED6E9"/>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Pivots!$N$8:$N$17</c:f>
              <c:strCache>
                <c:ptCount val="9"/>
                <c:pt idx="0">
                  <c:v>Bengaluru</c:v>
                </c:pt>
                <c:pt idx="1">
                  <c:v>Delhi NCR</c:v>
                </c:pt>
                <c:pt idx="2">
                  <c:v>Mumbai</c:v>
                </c:pt>
                <c:pt idx="3">
                  <c:v>Hyderabad</c:v>
                </c:pt>
                <c:pt idx="4">
                  <c:v>Pune</c:v>
                </c:pt>
                <c:pt idx="5">
                  <c:v>Chennai</c:v>
                </c:pt>
                <c:pt idx="6">
                  <c:v>Ahmedabad</c:v>
                </c:pt>
                <c:pt idx="7">
                  <c:v>Kolkata</c:v>
                </c:pt>
                <c:pt idx="8">
                  <c:v>Jaipur</c:v>
                </c:pt>
              </c:strCache>
            </c:strRef>
          </c:cat>
          <c:val>
            <c:numRef>
              <c:f>Pivots!$O$8:$O$17</c:f>
              <c:numCache>
                <c:formatCode>\$#,##0.0</c:formatCode>
                <c:ptCount val="9"/>
                <c:pt idx="0">
                  <c:v>8507.6</c:v>
                </c:pt>
                <c:pt idx="1">
                  <c:v>7273.8</c:v>
                </c:pt>
                <c:pt idx="2">
                  <c:v>5814.7000000000007</c:v>
                </c:pt>
                <c:pt idx="3">
                  <c:v>3398.5999999999995</c:v>
                </c:pt>
                <c:pt idx="4">
                  <c:v>2163.3000000000006</c:v>
                </c:pt>
                <c:pt idx="5">
                  <c:v>1643.1000000000001</c:v>
                </c:pt>
                <c:pt idx="6">
                  <c:v>1490</c:v>
                </c:pt>
                <c:pt idx="7">
                  <c:v>1101.9999999999998</c:v>
                </c:pt>
                <c:pt idx="8">
                  <c:v>229.8</c:v>
                </c:pt>
              </c:numCache>
            </c:numRef>
          </c:val>
          <c:extLst>
            <c:ext xmlns:c16="http://schemas.microsoft.com/office/drawing/2014/chart" uri="{C3380CC4-5D6E-409C-BE32-E72D297353CC}">
              <c16:uniqueId val="{00000000-4281-48A5-B649-CBF11BAC08B4}"/>
            </c:ext>
          </c:extLst>
        </c:ser>
        <c:dLbls>
          <c:showLegendKey val="0"/>
          <c:showVal val="0"/>
          <c:showCatName val="0"/>
          <c:showSerName val="0"/>
          <c:showPercent val="0"/>
          <c:showBubbleSize val="0"/>
        </c:dLbls>
        <c:gapWidth val="150"/>
        <c:axId val="292551552"/>
        <c:axId val="193343952"/>
      </c:barChart>
      <c:catAx>
        <c:axId val="292551552"/>
        <c:scaling>
          <c:orientation val="maxMin"/>
        </c:scaling>
        <c:delete val="0"/>
        <c:axPos val="l"/>
        <c:numFmt formatCode="General" sourceLinked="1"/>
        <c:majorTickMark val="out"/>
        <c:minorTickMark val="none"/>
        <c:tickLblPos val="nextTo"/>
        <c:spPr>
          <a:ln>
            <a:solidFill>
              <a:srgbClr val="263250"/>
            </a:solidFill>
          </a:ln>
        </c:spPr>
        <c:txPr>
          <a:bodyPr/>
          <a:lstStyle/>
          <a:p>
            <a:pPr>
              <a:defRPr sz="800">
                <a:solidFill>
                  <a:srgbClr val="CED6E9"/>
                </a:solidFill>
              </a:defRPr>
            </a:pPr>
            <a:endParaRPr lang="en-US"/>
          </a:p>
        </c:txPr>
        <c:crossAx val="193343952"/>
        <c:crosses val="autoZero"/>
        <c:auto val="1"/>
        <c:lblAlgn val="ctr"/>
        <c:lblOffset val="100"/>
        <c:noMultiLvlLbl val="0"/>
      </c:catAx>
      <c:valAx>
        <c:axId val="193343952"/>
        <c:scaling>
          <c:orientation val="minMax"/>
        </c:scaling>
        <c:delete val="0"/>
        <c:axPos val="t"/>
        <c:majorGridlines>
          <c:spPr>
            <a:ln>
              <a:solidFill>
                <a:srgbClr val="263250"/>
              </a:solidFill>
            </a:ln>
          </c:spPr>
        </c:majorGridlines>
        <c:numFmt formatCode="\$#,##0.0" sourceLinked="1"/>
        <c:majorTickMark val="out"/>
        <c:minorTickMark val="none"/>
        <c:tickLblPos val="nextTo"/>
        <c:txPr>
          <a:bodyPr/>
          <a:lstStyle/>
          <a:p>
            <a:pPr>
              <a:defRPr sz="800">
                <a:solidFill>
                  <a:srgbClr val="8A94AF"/>
                </a:solidFill>
              </a:defRPr>
            </a:pPr>
            <a:endParaRPr lang="en-US"/>
          </a:p>
        </c:txPr>
        <c:crossAx val="292551552"/>
        <c:crosses val="autoZero"/>
        <c:crossBetween val="between"/>
      </c:valAx>
      <c:spPr>
        <a:noFill/>
        <a:extLst>
          <a:ext uri="{909E8E84-426E-40DD-AFC4-6F175D3DCCD1}">
            <a14:hiddenFill xmlns:a14="http://schemas.microsoft.com/office/drawing/2010/main">
              <a:solidFill>
                <a:sysClr val="window" lastClr="FFFFFF"/>
              </a:solidFill>
            </a14:hiddenFill>
          </a:ext>
        </a:ex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41D34"/>
    </a:solidFill>
    <a:ln>
      <a:solidFill>
        <a:schemeClr val="accent6"/>
      </a:solidFill>
    </a:ln>
  </c:spPr>
  <c:txPr>
    <a:bodyPr/>
    <a:lstStyle/>
    <a:p>
      <a:pPr>
        <a:defRPr sz="900">
          <a:solidFill>
            <a:srgbClr val="CED6E9"/>
          </a:solidFill>
          <a:latin typeface="Calibri"/>
          <a:ea typeface="Calibri"/>
          <a:cs typeface="Calibri"/>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[Startup_Funding_Dashboard.xlsx]Pivots!ptSecCnt</c:name>
    <c:fmtId val="0"/>
  </c:pivotSource>
  <c:chart>
    <c:title>
      <c:tx>
        <c:rich>
          <a:bodyPr/>
          <a:lstStyle/>
          <a:p>
            <a:pPr>
              <a:defRPr/>
            </a:pPr>
            <a:r>
              <a:rPr lang="en-IN"/>
              <a:t>NUMBER OF DEALS BY SECTOR</a:t>
            </a:r>
          </a:p>
        </c:rich>
      </c:tx>
      <c:overlay val="0"/>
    </c:title>
    <c:autoTitleDeleted val="0"/>
    <c:pivotFmts>
      <c:pivotFmt>
        <c:idx val="0"/>
        <c:spPr>
          <a:solidFill>
            <a:srgbClr val="26C485"/>
          </a:solidFill>
        </c:spPr>
        <c:marker>
          <c:symbol val="none"/>
        </c:marker>
        <c:dLbl>
          <c:idx val="0"/>
          <c:numFmt formatCode="#,##0" sourceLinked="0"/>
          <c:spPr>
            <a:noFill/>
            <a:ln>
              <a:noFill/>
            </a:ln>
            <a:effectLst/>
          </c:spPr>
          <c:txPr>
            <a:bodyPr wrap="square" lIns="38100" tIns="19050" rIns="38100" bIns="19050" anchor="ctr">
              <a:spAutoFit/>
            </a:bodyPr>
            <a:lstStyle/>
            <a:p>
              <a:pPr>
                <a:defRPr sz="800" b="1">
                  <a:solidFill>
                    <a:srgbClr val="CED6E9"/>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Pivots!$S$7</c:f>
              <c:strCache>
                <c:ptCount val="1"/>
                <c:pt idx="0">
                  <c:v>Total</c:v>
                </c:pt>
              </c:strCache>
            </c:strRef>
          </c:tx>
          <c:spPr>
            <a:solidFill>
              <a:srgbClr val="26C485"/>
            </a:solidFill>
          </c:spPr>
          <c:invertIfNegative val="0"/>
          <c:dLbls>
            <c:numFmt formatCode="#,##0" sourceLinked="0"/>
            <c:spPr>
              <a:noFill/>
              <a:ln>
                <a:noFill/>
              </a:ln>
              <a:effectLst/>
            </c:spPr>
            <c:txPr>
              <a:bodyPr wrap="square" lIns="38100" tIns="19050" rIns="38100" bIns="19050" anchor="ctr">
                <a:spAutoFit/>
              </a:bodyPr>
              <a:lstStyle/>
              <a:p>
                <a:pPr>
                  <a:defRPr sz="800" b="1">
                    <a:solidFill>
                      <a:srgbClr val="CED6E9"/>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Pivots!$R$8:$R$20</c:f>
              <c:strCache>
                <c:ptCount val="12"/>
                <c:pt idx="0">
                  <c:v>Fintech</c:v>
                </c:pt>
                <c:pt idx="1">
                  <c:v>SaaS</c:v>
                </c:pt>
                <c:pt idx="2">
                  <c:v>E-commerce</c:v>
                </c:pt>
                <c:pt idx="3">
                  <c:v>Healthtech</c:v>
                </c:pt>
                <c:pt idx="4">
                  <c:v>Edtech</c:v>
                </c:pt>
                <c:pt idx="5">
                  <c:v>AI/ML</c:v>
                </c:pt>
                <c:pt idx="6">
                  <c:v>Logistics</c:v>
                </c:pt>
                <c:pt idx="7">
                  <c:v>Foodtech</c:v>
                </c:pt>
                <c:pt idx="8">
                  <c:v>Agritech</c:v>
                </c:pt>
                <c:pt idx="9">
                  <c:v>Mobility</c:v>
                </c:pt>
                <c:pt idx="10">
                  <c:v>Gaming</c:v>
                </c:pt>
                <c:pt idx="11">
                  <c:v>Cleantech</c:v>
                </c:pt>
              </c:strCache>
            </c:strRef>
          </c:cat>
          <c:val>
            <c:numRef>
              <c:f>Pivots!$S$8:$S$20</c:f>
              <c:numCache>
                <c:formatCode>General</c:formatCode>
                <c:ptCount val="12"/>
                <c:pt idx="0">
                  <c:v>102</c:v>
                </c:pt>
                <c:pt idx="1">
                  <c:v>98</c:v>
                </c:pt>
                <c:pt idx="2">
                  <c:v>89</c:v>
                </c:pt>
                <c:pt idx="3">
                  <c:v>79</c:v>
                </c:pt>
                <c:pt idx="4">
                  <c:v>67</c:v>
                </c:pt>
                <c:pt idx="5">
                  <c:v>56</c:v>
                </c:pt>
                <c:pt idx="6">
                  <c:v>50</c:v>
                </c:pt>
                <c:pt idx="7">
                  <c:v>44</c:v>
                </c:pt>
                <c:pt idx="8">
                  <c:v>33</c:v>
                </c:pt>
                <c:pt idx="9">
                  <c:v>32</c:v>
                </c:pt>
                <c:pt idx="10">
                  <c:v>30</c:v>
                </c:pt>
                <c:pt idx="11">
                  <c:v>20</c:v>
                </c:pt>
              </c:numCache>
            </c:numRef>
          </c:val>
          <c:extLst>
            <c:ext xmlns:c16="http://schemas.microsoft.com/office/drawing/2014/chart" uri="{C3380CC4-5D6E-409C-BE32-E72D297353CC}">
              <c16:uniqueId val="{00000000-E48B-48F2-8202-57DA9B44050A}"/>
            </c:ext>
          </c:extLst>
        </c:ser>
        <c:dLbls>
          <c:showLegendKey val="0"/>
          <c:showVal val="0"/>
          <c:showCatName val="0"/>
          <c:showSerName val="0"/>
          <c:showPercent val="0"/>
          <c:showBubbleSize val="0"/>
        </c:dLbls>
        <c:gapWidth val="150"/>
        <c:axId val="323046736"/>
        <c:axId val="193346832"/>
      </c:barChart>
      <c:catAx>
        <c:axId val="323046736"/>
        <c:scaling>
          <c:orientation val="minMax"/>
        </c:scaling>
        <c:delete val="0"/>
        <c:axPos val="b"/>
        <c:numFmt formatCode="General" sourceLinked="1"/>
        <c:majorTickMark val="out"/>
        <c:minorTickMark val="none"/>
        <c:tickLblPos val="nextTo"/>
        <c:spPr>
          <a:ln>
            <a:solidFill>
              <a:srgbClr val="263250"/>
            </a:solidFill>
          </a:ln>
        </c:spPr>
        <c:txPr>
          <a:bodyPr/>
          <a:lstStyle/>
          <a:p>
            <a:pPr>
              <a:defRPr sz="800">
                <a:solidFill>
                  <a:srgbClr val="CED6E9"/>
                </a:solidFill>
              </a:defRPr>
            </a:pPr>
            <a:endParaRPr lang="en-US"/>
          </a:p>
        </c:txPr>
        <c:crossAx val="193346832"/>
        <c:crosses val="autoZero"/>
        <c:auto val="1"/>
        <c:lblAlgn val="ctr"/>
        <c:lblOffset val="100"/>
        <c:noMultiLvlLbl val="0"/>
      </c:catAx>
      <c:valAx>
        <c:axId val="193346832"/>
        <c:scaling>
          <c:orientation val="minMax"/>
        </c:scaling>
        <c:delete val="0"/>
        <c:axPos val="l"/>
        <c:majorGridlines>
          <c:spPr>
            <a:ln>
              <a:solidFill>
                <a:srgbClr val="263250"/>
              </a:solidFill>
            </a:ln>
          </c:spPr>
        </c:majorGridlines>
        <c:numFmt formatCode="General" sourceLinked="1"/>
        <c:majorTickMark val="out"/>
        <c:minorTickMark val="none"/>
        <c:tickLblPos val="nextTo"/>
        <c:txPr>
          <a:bodyPr/>
          <a:lstStyle/>
          <a:p>
            <a:pPr>
              <a:defRPr sz="800">
                <a:solidFill>
                  <a:srgbClr val="8A94AF"/>
                </a:solidFill>
              </a:defRPr>
            </a:pPr>
            <a:endParaRPr lang="en-US"/>
          </a:p>
        </c:txPr>
        <c:crossAx val="323046736"/>
        <c:crosses val="autoZero"/>
        <c:crossBetween val="between"/>
      </c:valAx>
      <c:spPr>
        <a:noFill/>
        <a:extLst>
          <a:ext uri="{909E8E84-426E-40DD-AFC4-6F175D3DCCD1}">
            <a14:hiddenFill xmlns:a14="http://schemas.microsoft.com/office/drawing/2010/main">
              <a:solidFill>
                <a:sysClr val="window" lastClr="FFFFFF"/>
              </a:solidFill>
            </a14:hiddenFill>
          </a:ext>
        </a:ex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41D34"/>
    </a:solidFill>
    <a:ln>
      <a:solidFill>
        <a:schemeClr val="accent6"/>
      </a:solidFill>
    </a:ln>
  </c:spPr>
  <c:txPr>
    <a:bodyPr/>
    <a:lstStyle/>
    <a:p>
      <a:pPr>
        <a:defRPr sz="900">
          <a:solidFill>
            <a:srgbClr val="CED6E9"/>
          </a:solidFill>
          <a:latin typeface="Calibri"/>
          <a:ea typeface="Calibri"/>
          <a:cs typeface="Calibri"/>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[Startup_Funding_Dashboard.xlsx]Pivots!ptTopCo</c:name>
    <c:fmtId val="0"/>
  </c:pivotSource>
  <c:chart>
    <c:title>
      <c:tx>
        <c:rich>
          <a:bodyPr/>
          <a:lstStyle/>
          <a:p>
            <a:pPr>
              <a:defRPr/>
            </a:pPr>
            <a:r>
              <a:rPr lang="en-IN"/>
              <a:t>TOP 10 FUNDED STARTUPS ($M)</a:t>
            </a:r>
          </a:p>
        </c:rich>
      </c:tx>
      <c:overlay val="0"/>
    </c:title>
    <c:autoTitleDeleted val="0"/>
    <c:pivotFmts>
      <c:pivotFmt>
        <c:idx val="0"/>
        <c:spPr>
          <a:solidFill>
            <a:srgbClr val="F05A6E"/>
          </a:solidFill>
        </c:spPr>
        <c:marker>
          <c:symbol val="none"/>
        </c:marker>
        <c:dLbl>
          <c:idx val="0"/>
          <c:numFmt formatCode="\$#,##0.0&quot;M&quot;" sourceLinked="0"/>
          <c:spPr>
            <a:noFill/>
            <a:ln>
              <a:noFill/>
            </a:ln>
            <a:effectLst/>
          </c:spPr>
          <c:txPr>
            <a:bodyPr wrap="square" lIns="38100" tIns="19050" rIns="38100" bIns="19050" anchor="ctr">
              <a:spAutoFit/>
            </a:bodyPr>
            <a:lstStyle/>
            <a:p>
              <a:pPr>
                <a:defRPr sz="800" b="1">
                  <a:solidFill>
                    <a:srgbClr val="CED6E9"/>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05A6E"/>
          </a:solidFill>
        </c:spPr>
        <c:marker>
          <c:symbol val="none"/>
        </c:marker>
        <c:dLbl>
          <c:idx val="0"/>
          <c:numFmt formatCode="\$#,##0.0&quot;M&quot;" sourceLinked="0"/>
          <c:spPr>
            <a:noFill/>
            <a:ln>
              <a:noFill/>
            </a:ln>
            <a:effectLst/>
          </c:spPr>
          <c:txPr>
            <a:bodyPr wrap="square" lIns="38100" tIns="19050" rIns="38100" bIns="19050" anchor="ctr">
              <a:spAutoFit/>
            </a:bodyPr>
            <a:lstStyle/>
            <a:p>
              <a:pPr>
                <a:defRPr sz="800" b="1">
                  <a:solidFill>
                    <a:srgbClr val="CED6E9"/>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Pivots!$W$7</c:f>
              <c:strCache>
                <c:ptCount val="1"/>
                <c:pt idx="0">
                  <c:v>Total</c:v>
                </c:pt>
              </c:strCache>
            </c:strRef>
          </c:tx>
          <c:spPr>
            <a:solidFill>
              <a:srgbClr val="F05A6E"/>
            </a:solidFill>
          </c:spPr>
          <c:invertIfNegative val="0"/>
          <c:dLbls>
            <c:numFmt formatCode="\$#,##0.0&quot;M&quot;" sourceLinked="0"/>
            <c:spPr>
              <a:noFill/>
              <a:ln>
                <a:noFill/>
              </a:ln>
              <a:effectLst/>
            </c:spPr>
            <c:txPr>
              <a:bodyPr wrap="square" lIns="38100" tIns="19050" rIns="38100" bIns="19050" anchor="ctr">
                <a:spAutoFit/>
              </a:bodyPr>
              <a:lstStyle/>
              <a:p>
                <a:pPr>
                  <a:defRPr sz="800" b="1">
                    <a:solidFill>
                      <a:srgbClr val="CED6E9"/>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Pivots!$V$8:$V$18</c:f>
              <c:strCache>
                <c:ptCount val="10"/>
                <c:pt idx="0">
                  <c:v>PrimeSphere</c:v>
                </c:pt>
                <c:pt idx="1">
                  <c:v>AstraGrid</c:v>
                </c:pt>
                <c:pt idx="2">
                  <c:v>CartLoop</c:v>
                </c:pt>
                <c:pt idx="3">
                  <c:v>PeakLoop</c:v>
                </c:pt>
                <c:pt idx="4">
                  <c:v>FinGrid</c:v>
                </c:pt>
                <c:pt idx="5">
                  <c:v>HyperLearn</c:v>
                </c:pt>
                <c:pt idx="6">
                  <c:v>FluxFlow</c:v>
                </c:pt>
                <c:pt idx="7">
                  <c:v>SnapPay</c:v>
                </c:pt>
                <c:pt idx="8">
                  <c:v>OrbitLearn</c:v>
                </c:pt>
                <c:pt idx="9">
                  <c:v>CartGenix</c:v>
                </c:pt>
              </c:strCache>
            </c:strRef>
          </c:cat>
          <c:val>
            <c:numRef>
              <c:f>Pivots!$W$8:$W$18</c:f>
              <c:numCache>
                <c:formatCode>\$#,##0.0</c:formatCode>
                <c:ptCount val="10"/>
                <c:pt idx="0">
                  <c:v>494.1</c:v>
                </c:pt>
                <c:pt idx="1">
                  <c:v>459.9</c:v>
                </c:pt>
                <c:pt idx="2">
                  <c:v>403.8</c:v>
                </c:pt>
                <c:pt idx="3">
                  <c:v>391.4</c:v>
                </c:pt>
                <c:pt idx="4">
                  <c:v>385.5</c:v>
                </c:pt>
                <c:pt idx="5">
                  <c:v>382.3</c:v>
                </c:pt>
                <c:pt idx="6">
                  <c:v>381.5</c:v>
                </c:pt>
                <c:pt idx="7">
                  <c:v>378.3</c:v>
                </c:pt>
                <c:pt idx="8">
                  <c:v>371.2</c:v>
                </c:pt>
                <c:pt idx="9">
                  <c:v>364.7</c:v>
                </c:pt>
              </c:numCache>
            </c:numRef>
          </c:val>
          <c:extLst>
            <c:ext xmlns:c16="http://schemas.microsoft.com/office/drawing/2014/chart" uri="{C3380CC4-5D6E-409C-BE32-E72D297353CC}">
              <c16:uniqueId val="{00000000-983B-437B-879A-35CFACC11B0A}"/>
            </c:ext>
          </c:extLst>
        </c:ser>
        <c:dLbls>
          <c:showLegendKey val="0"/>
          <c:showVal val="0"/>
          <c:showCatName val="0"/>
          <c:showSerName val="0"/>
          <c:showPercent val="0"/>
          <c:showBubbleSize val="0"/>
        </c:dLbls>
        <c:gapWidth val="150"/>
        <c:axId val="323042560"/>
        <c:axId val="193354992"/>
      </c:barChart>
      <c:catAx>
        <c:axId val="323042560"/>
        <c:scaling>
          <c:orientation val="maxMin"/>
        </c:scaling>
        <c:delete val="0"/>
        <c:axPos val="l"/>
        <c:numFmt formatCode="General" sourceLinked="1"/>
        <c:majorTickMark val="out"/>
        <c:minorTickMark val="none"/>
        <c:tickLblPos val="nextTo"/>
        <c:spPr>
          <a:ln>
            <a:solidFill>
              <a:srgbClr val="263250"/>
            </a:solidFill>
          </a:ln>
        </c:spPr>
        <c:txPr>
          <a:bodyPr/>
          <a:lstStyle/>
          <a:p>
            <a:pPr>
              <a:defRPr sz="800">
                <a:solidFill>
                  <a:srgbClr val="CED6E9"/>
                </a:solidFill>
              </a:defRPr>
            </a:pPr>
            <a:endParaRPr lang="en-US"/>
          </a:p>
        </c:txPr>
        <c:crossAx val="193354992"/>
        <c:crosses val="autoZero"/>
        <c:auto val="1"/>
        <c:lblAlgn val="ctr"/>
        <c:lblOffset val="100"/>
        <c:noMultiLvlLbl val="0"/>
      </c:catAx>
      <c:valAx>
        <c:axId val="193354992"/>
        <c:scaling>
          <c:orientation val="minMax"/>
        </c:scaling>
        <c:delete val="0"/>
        <c:axPos val="t"/>
        <c:majorGridlines>
          <c:spPr>
            <a:ln>
              <a:solidFill>
                <a:srgbClr val="263250"/>
              </a:solidFill>
            </a:ln>
          </c:spPr>
        </c:majorGridlines>
        <c:numFmt formatCode="\$#,##0.0" sourceLinked="1"/>
        <c:majorTickMark val="out"/>
        <c:minorTickMark val="none"/>
        <c:tickLblPos val="nextTo"/>
        <c:txPr>
          <a:bodyPr/>
          <a:lstStyle/>
          <a:p>
            <a:pPr>
              <a:defRPr sz="800">
                <a:solidFill>
                  <a:srgbClr val="8A94AF"/>
                </a:solidFill>
              </a:defRPr>
            </a:pPr>
            <a:endParaRPr lang="en-US"/>
          </a:p>
        </c:txPr>
        <c:crossAx val="323042560"/>
        <c:crosses val="autoZero"/>
        <c:crossBetween val="between"/>
      </c:valAx>
      <c:spPr>
        <a:noFill/>
        <a:extLst>
          <a:ext uri="{909E8E84-426E-40DD-AFC4-6F175D3DCCD1}">
            <a14:hiddenFill xmlns:a14="http://schemas.microsoft.com/office/drawing/2010/main">
              <a:solidFill>
                <a:sysClr val="window" lastClr="FFFFFF"/>
              </a:solidFill>
            </a14:hiddenFill>
          </a:ext>
        </a:ex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41D34"/>
    </a:solidFill>
    <a:ln>
      <a:solidFill>
        <a:schemeClr val="accent6"/>
      </a:solidFill>
    </a:ln>
  </c:spPr>
  <c:txPr>
    <a:bodyPr/>
    <a:lstStyle/>
    <a:p>
      <a:pPr>
        <a:defRPr sz="900">
          <a:solidFill>
            <a:srgbClr val="CED6E9"/>
          </a:solidFill>
          <a:latin typeface="Calibri"/>
          <a:ea typeface="Calibri"/>
          <a:cs typeface="Calibri"/>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[Startup_Funding_Dashboard.xlsx]Pivots!ptSector</c:name>
    <c:fmtId val="0"/>
  </c:pivotSource>
  <c:chart>
    <c:title>
      <c:tx>
        <c:rich>
          <a:bodyPr/>
          <a:lstStyle/>
          <a:p>
            <a:pPr>
              <a:defRPr/>
            </a:pPr>
            <a:r>
              <a:rPr lang="en-IN"/>
              <a:t>TOTAL FUNDING BY SECTOR ($M)</a:t>
            </a:r>
          </a:p>
        </c:rich>
      </c:tx>
      <c:overlay val="0"/>
    </c:title>
    <c:autoTitleDeleted val="0"/>
    <c:pivotFmts>
      <c:pivotFmt>
        <c:idx val="0"/>
        <c:spPr>
          <a:solidFill>
            <a:srgbClr val="8B6EF6"/>
          </a:solidFill>
        </c:spPr>
        <c:marker>
          <c:symbol val="none"/>
        </c:marker>
        <c:dLbl>
          <c:idx val="0"/>
          <c:numFmt formatCode="\$#,##0.0&quot;M&quot;" sourceLinked="0"/>
          <c:spPr>
            <a:noFill/>
            <a:ln>
              <a:noFill/>
            </a:ln>
            <a:effectLst/>
          </c:spPr>
          <c:txPr>
            <a:bodyPr wrap="square" lIns="38100" tIns="19050" rIns="38100" bIns="19050" anchor="ctr">
              <a:spAutoFit/>
            </a:bodyPr>
            <a:lstStyle/>
            <a:p>
              <a:pPr>
                <a:defRPr sz="800" b="1">
                  <a:solidFill>
                    <a:srgbClr val="CED6E9"/>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Pivots!$C$7</c:f>
              <c:strCache>
                <c:ptCount val="1"/>
                <c:pt idx="0">
                  <c:v>Total</c:v>
                </c:pt>
              </c:strCache>
            </c:strRef>
          </c:tx>
          <c:spPr>
            <a:solidFill>
              <a:srgbClr val="8B6EF6"/>
            </a:solidFill>
          </c:spPr>
          <c:invertIfNegative val="0"/>
          <c:dLbls>
            <c:numFmt formatCode="\$#,##0.0&quot;M&quot;" sourceLinked="0"/>
            <c:spPr>
              <a:noFill/>
              <a:ln>
                <a:noFill/>
              </a:ln>
              <a:effectLst/>
            </c:spPr>
            <c:txPr>
              <a:bodyPr wrap="square" lIns="38100" tIns="19050" rIns="38100" bIns="19050" anchor="ctr">
                <a:spAutoFit/>
              </a:bodyPr>
              <a:lstStyle/>
              <a:p>
                <a:pPr>
                  <a:defRPr sz="800" b="1">
                    <a:solidFill>
                      <a:srgbClr val="CED6E9"/>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Pivots!$B$8:$B$20</c:f>
              <c:strCache>
                <c:ptCount val="12"/>
                <c:pt idx="0">
                  <c:v>E-commerce</c:v>
                </c:pt>
                <c:pt idx="1">
                  <c:v>Fintech</c:v>
                </c:pt>
                <c:pt idx="2">
                  <c:v>Healthtech</c:v>
                </c:pt>
                <c:pt idx="3">
                  <c:v>SaaS</c:v>
                </c:pt>
                <c:pt idx="4">
                  <c:v>Edtech</c:v>
                </c:pt>
                <c:pt idx="5">
                  <c:v>AI/ML</c:v>
                </c:pt>
                <c:pt idx="6">
                  <c:v>Foodtech</c:v>
                </c:pt>
                <c:pt idx="7">
                  <c:v>Logistics</c:v>
                </c:pt>
                <c:pt idx="8">
                  <c:v>Mobility</c:v>
                </c:pt>
                <c:pt idx="9">
                  <c:v>Agritech</c:v>
                </c:pt>
                <c:pt idx="10">
                  <c:v>Cleantech</c:v>
                </c:pt>
                <c:pt idx="11">
                  <c:v>Gaming</c:v>
                </c:pt>
              </c:strCache>
            </c:strRef>
          </c:cat>
          <c:val>
            <c:numRef>
              <c:f>Pivots!$C$8:$C$20</c:f>
              <c:numCache>
                <c:formatCode>\$#,##0.0</c:formatCode>
                <c:ptCount val="12"/>
                <c:pt idx="0">
                  <c:v>6563.1</c:v>
                </c:pt>
                <c:pt idx="1">
                  <c:v>5497.5000000000036</c:v>
                </c:pt>
                <c:pt idx="2">
                  <c:v>4111.7</c:v>
                </c:pt>
                <c:pt idx="3">
                  <c:v>3852.8999999999996</c:v>
                </c:pt>
                <c:pt idx="4">
                  <c:v>2384.8000000000011</c:v>
                </c:pt>
                <c:pt idx="5">
                  <c:v>2072.2999999999997</c:v>
                </c:pt>
                <c:pt idx="6">
                  <c:v>1746.8000000000002</c:v>
                </c:pt>
                <c:pt idx="7">
                  <c:v>1536.5000000000005</c:v>
                </c:pt>
                <c:pt idx="8">
                  <c:v>1239.3999999999994</c:v>
                </c:pt>
                <c:pt idx="9">
                  <c:v>1153.9999999999998</c:v>
                </c:pt>
                <c:pt idx="10">
                  <c:v>757.4</c:v>
                </c:pt>
                <c:pt idx="11">
                  <c:v>706.50000000000011</c:v>
                </c:pt>
              </c:numCache>
            </c:numRef>
          </c:val>
          <c:extLst>
            <c:ext xmlns:c16="http://schemas.microsoft.com/office/drawing/2014/chart" uri="{C3380CC4-5D6E-409C-BE32-E72D297353CC}">
              <c16:uniqueId val="{00000000-1AF9-4D45-A89D-52C31E97DED2}"/>
            </c:ext>
          </c:extLst>
        </c:ser>
        <c:dLbls>
          <c:showLegendKey val="0"/>
          <c:showVal val="0"/>
          <c:showCatName val="0"/>
          <c:showSerName val="0"/>
          <c:showPercent val="0"/>
          <c:showBubbleSize val="0"/>
        </c:dLbls>
        <c:gapWidth val="150"/>
        <c:axId val="323894240"/>
        <c:axId val="193337712"/>
      </c:barChart>
      <c:catAx>
        <c:axId val="323894240"/>
        <c:scaling>
          <c:orientation val="maxMin"/>
        </c:scaling>
        <c:delete val="0"/>
        <c:axPos val="l"/>
        <c:numFmt formatCode="General" sourceLinked="1"/>
        <c:majorTickMark val="out"/>
        <c:minorTickMark val="none"/>
        <c:tickLblPos val="nextTo"/>
        <c:spPr>
          <a:ln>
            <a:solidFill>
              <a:srgbClr val="263250"/>
            </a:solidFill>
          </a:ln>
        </c:spPr>
        <c:txPr>
          <a:bodyPr/>
          <a:lstStyle/>
          <a:p>
            <a:pPr>
              <a:defRPr sz="800">
                <a:solidFill>
                  <a:srgbClr val="CED6E9"/>
                </a:solidFill>
              </a:defRPr>
            </a:pPr>
            <a:endParaRPr lang="en-US"/>
          </a:p>
        </c:txPr>
        <c:crossAx val="193337712"/>
        <c:crosses val="autoZero"/>
        <c:auto val="1"/>
        <c:lblAlgn val="ctr"/>
        <c:lblOffset val="100"/>
        <c:noMultiLvlLbl val="0"/>
      </c:catAx>
      <c:valAx>
        <c:axId val="193337712"/>
        <c:scaling>
          <c:orientation val="minMax"/>
        </c:scaling>
        <c:delete val="0"/>
        <c:axPos val="t"/>
        <c:majorGridlines>
          <c:spPr>
            <a:ln>
              <a:solidFill>
                <a:srgbClr val="263250"/>
              </a:solidFill>
            </a:ln>
          </c:spPr>
        </c:majorGridlines>
        <c:numFmt formatCode="\$#,##0.0" sourceLinked="1"/>
        <c:majorTickMark val="out"/>
        <c:minorTickMark val="none"/>
        <c:tickLblPos val="nextTo"/>
        <c:txPr>
          <a:bodyPr/>
          <a:lstStyle/>
          <a:p>
            <a:pPr>
              <a:defRPr sz="800">
                <a:solidFill>
                  <a:srgbClr val="8A94AF"/>
                </a:solidFill>
              </a:defRPr>
            </a:pPr>
            <a:endParaRPr lang="en-US"/>
          </a:p>
        </c:txPr>
        <c:crossAx val="323894240"/>
        <c:crosses val="autoZero"/>
        <c:crossBetween val="between"/>
      </c:valAx>
      <c:spPr>
        <a:noFill/>
        <a:extLst>
          <a:ext uri="{909E8E84-426E-40DD-AFC4-6F175D3DCCD1}">
            <a14:hiddenFill xmlns:a14="http://schemas.microsoft.com/office/drawing/2010/main">
              <a:solidFill>
                <a:sysClr val="window" lastClr="FFFFFF"/>
              </a:solidFill>
            </a14:hiddenFill>
          </a:ext>
        </a:ex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41D34"/>
    </a:solidFill>
    <a:ln>
      <a:solidFill>
        <a:schemeClr val="accent6"/>
      </a:solidFill>
    </a:ln>
    <a:effectLst>
      <a:outerShdw blurRad="50800" dist="38100" dir="2700000" algn="tl" rotWithShape="0">
        <a:prstClr val="black">
          <a:alpha val="40000"/>
        </a:prstClr>
      </a:outerShdw>
    </a:effectLst>
  </c:spPr>
  <c:txPr>
    <a:bodyPr/>
    <a:lstStyle/>
    <a:p>
      <a:pPr>
        <a:defRPr sz="900">
          <a:solidFill>
            <a:srgbClr val="CED6E9"/>
          </a:solidFill>
          <a:latin typeface="Calibri"/>
          <a:ea typeface="Calibri"/>
          <a:cs typeface="Calibri"/>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8</xdr:col>
      <xdr:colOff>280451</xdr:colOff>
      <xdr:row>34</xdr:row>
      <xdr:rowOff>0</xdr:rowOff>
    </xdr:from>
    <xdr:to>
      <xdr:col>13</xdr:col>
      <xdr:colOff>660382</xdr:colOff>
      <xdr:row>47</xdr:row>
      <xdr:rowOff>53258</xdr:rowOff>
    </xdr:to>
    <xdr:graphicFrame macro="">
      <xdr:nvGraphicFramePr>
        <xdr:cNvPr id="2" name="Chart 1">
          <a:extLst>
            <a:ext uri="{FF2B5EF4-FFF2-40B4-BE49-F238E27FC236}">
              <a16:creationId xmlns:a16="http://schemas.microsoft.com/office/drawing/2014/main" id="{64E599D1-D4A3-49B2-A01E-87818FD3F1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1049576</xdr:colOff>
      <xdr:row>34</xdr:row>
      <xdr:rowOff>0</xdr:rowOff>
    </xdr:from>
    <xdr:to>
      <xdr:col>20</xdr:col>
      <xdr:colOff>253376</xdr:colOff>
      <xdr:row>47</xdr:row>
      <xdr:rowOff>53258</xdr:rowOff>
    </xdr:to>
    <xdr:graphicFrame macro="">
      <xdr:nvGraphicFramePr>
        <xdr:cNvPr id="3" name="Chart 2">
          <a:extLst>
            <a:ext uri="{FF2B5EF4-FFF2-40B4-BE49-F238E27FC236}">
              <a16:creationId xmlns:a16="http://schemas.microsoft.com/office/drawing/2014/main" id="{275FE3CD-8C2D-4369-8AE5-5896203468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0</xdr:colOff>
      <xdr:row>48</xdr:row>
      <xdr:rowOff>57355</xdr:rowOff>
    </xdr:from>
    <xdr:to>
      <xdr:col>7</xdr:col>
      <xdr:colOff>446192</xdr:colOff>
      <xdr:row>61</xdr:row>
      <xdr:rowOff>110613</xdr:rowOff>
    </xdr:to>
    <xdr:graphicFrame macro="">
      <xdr:nvGraphicFramePr>
        <xdr:cNvPr id="4" name="Chart 3">
          <a:extLst>
            <a:ext uri="{FF2B5EF4-FFF2-40B4-BE49-F238E27FC236}">
              <a16:creationId xmlns:a16="http://schemas.microsoft.com/office/drawing/2014/main" id="{D99BC2DC-68E3-4A70-A209-85F4E6E6E5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280451</xdr:colOff>
      <xdr:row>48</xdr:row>
      <xdr:rowOff>57355</xdr:rowOff>
    </xdr:from>
    <xdr:to>
      <xdr:col>13</xdr:col>
      <xdr:colOff>660382</xdr:colOff>
      <xdr:row>61</xdr:row>
      <xdr:rowOff>110613</xdr:rowOff>
    </xdr:to>
    <xdr:graphicFrame macro="">
      <xdr:nvGraphicFramePr>
        <xdr:cNvPr id="5" name="Chart 4">
          <a:extLst>
            <a:ext uri="{FF2B5EF4-FFF2-40B4-BE49-F238E27FC236}">
              <a16:creationId xmlns:a16="http://schemas.microsoft.com/office/drawing/2014/main" id="{C04DD200-3F63-4455-B6A5-E7F259C625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1049576</xdr:colOff>
      <xdr:row>48</xdr:row>
      <xdr:rowOff>57355</xdr:rowOff>
    </xdr:from>
    <xdr:to>
      <xdr:col>20</xdr:col>
      <xdr:colOff>253376</xdr:colOff>
      <xdr:row>61</xdr:row>
      <xdr:rowOff>110613</xdr:rowOff>
    </xdr:to>
    <xdr:graphicFrame macro="">
      <xdr:nvGraphicFramePr>
        <xdr:cNvPr id="6" name="Chart 5">
          <a:extLst>
            <a:ext uri="{FF2B5EF4-FFF2-40B4-BE49-F238E27FC236}">
              <a16:creationId xmlns:a16="http://schemas.microsoft.com/office/drawing/2014/main" id="{06FA01BC-2E85-4144-BC83-853CF940F1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0</xdr:colOff>
      <xdr:row>34</xdr:row>
      <xdr:rowOff>0</xdr:rowOff>
    </xdr:from>
    <xdr:to>
      <xdr:col>7</xdr:col>
      <xdr:colOff>446192</xdr:colOff>
      <xdr:row>47</xdr:row>
      <xdr:rowOff>53258</xdr:rowOff>
    </xdr:to>
    <xdr:graphicFrame macro="">
      <xdr:nvGraphicFramePr>
        <xdr:cNvPr id="7" name="Chart 6">
          <a:extLst>
            <a:ext uri="{FF2B5EF4-FFF2-40B4-BE49-F238E27FC236}">
              <a16:creationId xmlns:a16="http://schemas.microsoft.com/office/drawing/2014/main" id="{AEA81A42-C191-46AD-8AAE-2669476182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22</xdr:col>
      <xdr:colOff>0</xdr:colOff>
      <xdr:row>29</xdr:row>
      <xdr:rowOff>0</xdr:rowOff>
    </xdr:from>
    <xdr:to>
      <xdr:col>25</xdr:col>
      <xdr:colOff>512987</xdr:colOff>
      <xdr:row>38</xdr:row>
      <xdr:rowOff>100371</xdr:rowOff>
    </xdr:to>
    <mc:AlternateContent xmlns:mc="http://schemas.openxmlformats.org/markup-compatibility/2006">
      <mc:Choice xmlns:a14="http://schemas.microsoft.com/office/drawing/2010/main" Requires="a14">
        <xdr:graphicFrame macro="">
          <xdr:nvGraphicFramePr>
            <xdr:cNvPr id="8" name="Sector 1">
              <a:extLst>
                <a:ext uri="{FF2B5EF4-FFF2-40B4-BE49-F238E27FC236}">
                  <a16:creationId xmlns:a16="http://schemas.microsoft.com/office/drawing/2014/main" id="{4C89DBF4-2973-4455-A59B-96E4F2C4D3E8}"/>
                </a:ext>
              </a:extLst>
            </xdr:cNvPr>
            <xdr:cNvGraphicFramePr/>
          </xdr:nvGraphicFramePr>
          <xdr:xfrm>
            <a:off x="0" y="0"/>
            <a:ext cx="0" cy="0"/>
          </xdr:xfrm>
          <a:graphic>
            <a:graphicData uri="http://schemas.microsoft.com/office/drawing/2010/slicer">
              <sle:slicer xmlns:sle="http://schemas.microsoft.com/office/drawing/2010/slicer" name="Sector 1"/>
            </a:graphicData>
          </a:graphic>
        </xdr:graphicFrame>
      </mc:Choice>
      <mc:Fallback>
        <xdr:sp macro="" textlink="">
          <xdr:nvSpPr>
            <xdr:cNvPr id="0" name=""/>
            <xdr:cNvSpPr>
              <a:spLocks noTextEdit="1"/>
            </xdr:cNvSpPr>
          </xdr:nvSpPr>
          <xdr:spPr>
            <a:xfrm>
              <a:off x="17153283" y="5524500"/>
              <a:ext cx="2335161" cy="18148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0</xdr:colOff>
      <xdr:row>39</xdr:row>
      <xdr:rowOff>40968</xdr:rowOff>
    </xdr:from>
    <xdr:to>
      <xdr:col>25</xdr:col>
      <xdr:colOff>512987</xdr:colOff>
      <xdr:row>45</xdr:row>
      <xdr:rowOff>129049</xdr:rowOff>
    </xdr:to>
    <mc:AlternateContent xmlns:mc="http://schemas.openxmlformats.org/markup-compatibility/2006">
      <mc:Choice xmlns:a14="http://schemas.microsoft.com/office/drawing/2010/main" Requires="a14">
        <xdr:graphicFrame macro="">
          <xdr:nvGraphicFramePr>
            <xdr:cNvPr id="9" name="Funding Stage 1">
              <a:extLst>
                <a:ext uri="{FF2B5EF4-FFF2-40B4-BE49-F238E27FC236}">
                  <a16:creationId xmlns:a16="http://schemas.microsoft.com/office/drawing/2014/main" id="{8CC29AC4-25C1-46C4-8B49-7D963BBF9C08}"/>
                </a:ext>
              </a:extLst>
            </xdr:cNvPr>
            <xdr:cNvGraphicFramePr/>
          </xdr:nvGraphicFramePr>
          <xdr:xfrm>
            <a:off x="0" y="0"/>
            <a:ext cx="0" cy="0"/>
          </xdr:xfrm>
          <a:graphic>
            <a:graphicData uri="http://schemas.microsoft.com/office/drawing/2010/slicer">
              <sle:slicer xmlns:sle="http://schemas.microsoft.com/office/drawing/2010/slicer" name="Funding Stage 1"/>
            </a:graphicData>
          </a:graphic>
        </xdr:graphicFrame>
      </mc:Choice>
      <mc:Fallback>
        <xdr:sp macro="" textlink="">
          <xdr:nvSpPr>
            <xdr:cNvPr id="0" name=""/>
            <xdr:cNvSpPr>
              <a:spLocks noTextEdit="1"/>
            </xdr:cNvSpPr>
          </xdr:nvSpPr>
          <xdr:spPr>
            <a:xfrm>
              <a:off x="17153283" y="7470468"/>
              <a:ext cx="2335161" cy="12310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0</xdr:colOff>
      <xdr:row>46</xdr:row>
      <xdr:rowOff>69646</xdr:rowOff>
    </xdr:from>
    <xdr:to>
      <xdr:col>25</xdr:col>
      <xdr:colOff>512987</xdr:colOff>
      <xdr:row>53</xdr:row>
      <xdr:rowOff>30726</xdr:rowOff>
    </xdr:to>
    <mc:AlternateContent xmlns:mc="http://schemas.openxmlformats.org/markup-compatibility/2006">
      <mc:Choice xmlns:a14="http://schemas.microsoft.com/office/drawing/2010/main" Requires="a14">
        <xdr:graphicFrame macro="">
          <xdr:nvGraphicFramePr>
            <xdr:cNvPr id="10" name="Funding Year 1">
              <a:extLst>
                <a:ext uri="{FF2B5EF4-FFF2-40B4-BE49-F238E27FC236}">
                  <a16:creationId xmlns:a16="http://schemas.microsoft.com/office/drawing/2014/main" id="{145E145B-2F5D-4D4B-BBF7-5C38E1322789}"/>
                </a:ext>
              </a:extLst>
            </xdr:cNvPr>
            <xdr:cNvGraphicFramePr/>
          </xdr:nvGraphicFramePr>
          <xdr:xfrm>
            <a:off x="0" y="0"/>
            <a:ext cx="0" cy="0"/>
          </xdr:xfrm>
          <a:graphic>
            <a:graphicData uri="http://schemas.microsoft.com/office/drawing/2010/slicer">
              <sle:slicer xmlns:sle="http://schemas.microsoft.com/office/drawing/2010/slicer" name="Funding Year 1"/>
            </a:graphicData>
          </a:graphic>
        </xdr:graphicFrame>
      </mc:Choice>
      <mc:Fallback>
        <xdr:sp macro="" textlink="">
          <xdr:nvSpPr>
            <xdr:cNvPr id="0" name=""/>
            <xdr:cNvSpPr>
              <a:spLocks noTextEdit="1"/>
            </xdr:cNvSpPr>
          </xdr:nvSpPr>
          <xdr:spPr>
            <a:xfrm>
              <a:off x="17153283" y="8832646"/>
              <a:ext cx="2335161" cy="12945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0</xdr:colOff>
      <xdr:row>54</xdr:row>
      <xdr:rowOff>102420</xdr:rowOff>
    </xdr:from>
    <xdr:to>
      <xdr:col>25</xdr:col>
      <xdr:colOff>512987</xdr:colOff>
      <xdr:row>62</xdr:row>
      <xdr:rowOff>4097</xdr:rowOff>
    </xdr:to>
    <mc:AlternateContent xmlns:mc="http://schemas.openxmlformats.org/markup-compatibility/2006">
      <mc:Choice xmlns:a14="http://schemas.microsoft.com/office/drawing/2010/main" Requires="a14">
        <xdr:graphicFrame macro="">
          <xdr:nvGraphicFramePr>
            <xdr:cNvPr id="11" name="City 1">
              <a:extLst>
                <a:ext uri="{FF2B5EF4-FFF2-40B4-BE49-F238E27FC236}">
                  <a16:creationId xmlns:a16="http://schemas.microsoft.com/office/drawing/2014/main" id="{625400D7-CA6A-4D2C-AAB1-937ED30833E2}"/>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dr:sp macro="" textlink="">
          <xdr:nvSpPr>
            <xdr:cNvPr id="0" name=""/>
            <xdr:cNvSpPr>
              <a:spLocks noTextEdit="1"/>
            </xdr:cNvSpPr>
          </xdr:nvSpPr>
          <xdr:spPr>
            <a:xfrm>
              <a:off x="17153283" y="10389420"/>
              <a:ext cx="2335161" cy="14256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15</xdr:col>
      <xdr:colOff>1313</xdr:colOff>
      <xdr:row>4</xdr:row>
      <xdr:rowOff>184355</xdr:rowOff>
    </xdr:from>
    <xdr:to>
      <xdr:col>90</xdr:col>
      <xdr:colOff>153628</xdr:colOff>
      <xdr:row>10</xdr:row>
      <xdr:rowOff>184355</xdr:rowOff>
    </xdr:to>
    <xdr:grpSp>
      <xdr:nvGrpSpPr>
        <xdr:cNvPr id="42" name="Group 41">
          <a:extLst>
            <a:ext uri="{FF2B5EF4-FFF2-40B4-BE49-F238E27FC236}">
              <a16:creationId xmlns:a16="http://schemas.microsoft.com/office/drawing/2014/main" id="{9EACD8EB-11C8-19BF-F10E-9D72D12C63AB}"/>
            </a:ext>
          </a:extLst>
        </xdr:cNvPr>
        <xdr:cNvGrpSpPr/>
      </xdr:nvGrpSpPr>
      <xdr:grpSpPr>
        <a:xfrm>
          <a:off x="2920265" y="962742"/>
          <a:ext cx="14747073" cy="1167581"/>
          <a:chOff x="2920266" y="972984"/>
          <a:chExt cx="14204250" cy="1167581"/>
        </a:xfrm>
      </xdr:grpSpPr>
      <xdr:grpSp>
        <xdr:nvGrpSpPr>
          <xdr:cNvPr id="37" name="Group 36">
            <a:extLst>
              <a:ext uri="{FF2B5EF4-FFF2-40B4-BE49-F238E27FC236}">
                <a16:creationId xmlns:a16="http://schemas.microsoft.com/office/drawing/2014/main" id="{E8837FC1-1E39-69C8-8C8C-EB375E5FDA2C}"/>
              </a:ext>
            </a:extLst>
          </xdr:cNvPr>
          <xdr:cNvGrpSpPr/>
        </xdr:nvGrpSpPr>
        <xdr:grpSpPr>
          <a:xfrm>
            <a:off x="2920266" y="972984"/>
            <a:ext cx="2529758" cy="1167581"/>
            <a:chOff x="2819400" y="952500"/>
            <a:chExt cx="2476500" cy="1143000"/>
          </a:xfrm>
        </xdr:grpSpPr>
        <xdr:sp macro="" textlink="">
          <xdr:nvSpPr>
            <xdr:cNvPr id="2" name="Rectangle: Rounded Corners 1">
              <a:extLst>
                <a:ext uri="{FF2B5EF4-FFF2-40B4-BE49-F238E27FC236}">
                  <a16:creationId xmlns:a16="http://schemas.microsoft.com/office/drawing/2014/main" id="{10B922A1-D00E-7335-9C6C-C53C1A594802}"/>
                </a:ext>
              </a:extLst>
            </xdr:cNvPr>
            <xdr:cNvSpPr/>
          </xdr:nvSpPr>
          <xdr:spPr>
            <a:xfrm>
              <a:off x="2819400" y="952500"/>
              <a:ext cx="2476500" cy="1143000"/>
            </a:xfrm>
            <a:prstGeom prst="roundRect">
              <a:avLst/>
            </a:prstGeom>
            <a:solidFill>
              <a:srgbClr val="19233D"/>
            </a:solidFill>
            <a:ln w="12700">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 name="Oval 2">
              <a:extLst>
                <a:ext uri="{FF2B5EF4-FFF2-40B4-BE49-F238E27FC236}">
                  <a16:creationId xmlns:a16="http://schemas.microsoft.com/office/drawing/2014/main" id="{0AD6F7C0-8109-4833-C513-CC1F598B6B42}"/>
                </a:ext>
              </a:extLst>
            </xdr:cNvPr>
            <xdr:cNvSpPr/>
          </xdr:nvSpPr>
          <xdr:spPr>
            <a:xfrm>
              <a:off x="3009900" y="1244600"/>
              <a:ext cx="558800" cy="558800"/>
            </a:xfrm>
            <a:prstGeom prst="ellipse">
              <a:avLst/>
            </a:prstGeom>
            <a:solidFill>
              <a:srgbClr val="8B6EF6"/>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700"/>
                <a:t>💰</a:t>
              </a:r>
            </a:p>
          </xdr:txBody>
        </xdr:sp>
        <xdr:sp macro="" textlink="">
          <xdr:nvSpPr>
            <xdr:cNvPr id="4" name="TextBox 3">
              <a:extLst>
                <a:ext uri="{FF2B5EF4-FFF2-40B4-BE49-F238E27FC236}">
                  <a16:creationId xmlns:a16="http://schemas.microsoft.com/office/drawing/2014/main" id="{FEBEB8F6-2A22-C2D3-1C30-3C1B41FF356A}"/>
                </a:ext>
              </a:extLst>
            </xdr:cNvPr>
            <xdr:cNvSpPr txBox="1"/>
          </xdr:nvSpPr>
          <xdr:spPr>
            <a:xfrm>
              <a:off x="3695700" y="1054100"/>
              <a:ext cx="1536700" cy="2032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tIns="0" rIns="0" bIns="0" rtlCol="0" anchor="t"/>
            <a:lstStyle/>
            <a:p>
              <a:pPr algn="l"/>
              <a:r>
                <a:rPr lang="en-IN" sz="900" b="1">
                  <a:solidFill>
                    <a:srgbClr val="8B6EF6"/>
                  </a:solidFill>
                  <a:latin typeface="Calibri" panose="020F0502020204030204" pitchFamily="34" charset="0"/>
                </a:rPr>
                <a:t>TOTAL FUNDING  ($M)</a:t>
              </a:r>
            </a:p>
          </xdr:txBody>
        </xdr:sp>
        <xdr:sp macro="" textlink="#REF!">
          <xdr:nvSpPr>
            <xdr:cNvPr id="5" name="TextBox 4">
              <a:extLst>
                <a:ext uri="{FF2B5EF4-FFF2-40B4-BE49-F238E27FC236}">
                  <a16:creationId xmlns:a16="http://schemas.microsoft.com/office/drawing/2014/main" id="{3A703BAC-FE3A-173B-E1C7-EE711779A439}"/>
                </a:ext>
              </a:extLst>
            </xdr:cNvPr>
            <xdr:cNvSpPr txBox="1"/>
          </xdr:nvSpPr>
          <xdr:spPr>
            <a:xfrm>
              <a:off x="3695700" y="1270000"/>
              <a:ext cx="1536700" cy="431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tIns="0" rIns="0" bIns="0" rtlCol="0" anchor="ctr"/>
            <a:lstStyle/>
            <a:p>
              <a:pPr algn="l"/>
              <a:fld id="{CBF61C4B-F065-49A5-B84B-734293452272}" type="TxLink">
                <a:rPr lang="en-US" sz="1800" b="1" i="0" u="none" strike="noStrike">
                  <a:solidFill>
                    <a:srgbClr val="FFFFFF"/>
                  </a:solidFill>
                  <a:latin typeface="Calibri" panose="020F0502020204030204" pitchFamily="34" charset="0"/>
                  <a:ea typeface="Calibri"/>
                  <a:cs typeface="Calibri"/>
                </a:rPr>
                <a:pPr algn="l"/>
                <a:t>$31,623M</a:t>
              </a:fld>
              <a:endParaRPr lang="en-IN" sz="1800" b="1">
                <a:solidFill>
                  <a:srgbClr val="FFFFFF"/>
                </a:solidFill>
                <a:latin typeface="Calibri" panose="020F0502020204030204" pitchFamily="34" charset="0"/>
              </a:endParaRPr>
            </a:p>
          </xdr:txBody>
        </xdr:sp>
        <xdr:sp macro="" textlink="#REF!">
          <xdr:nvSpPr>
            <xdr:cNvPr id="6" name="TextBox 5">
              <a:extLst>
                <a:ext uri="{FF2B5EF4-FFF2-40B4-BE49-F238E27FC236}">
                  <a16:creationId xmlns:a16="http://schemas.microsoft.com/office/drawing/2014/main" id="{64E744B9-46C2-FA67-2A1E-C76E3B1231E2}"/>
                </a:ext>
              </a:extLst>
            </xdr:cNvPr>
            <xdr:cNvSpPr txBox="1"/>
          </xdr:nvSpPr>
          <xdr:spPr>
            <a:xfrm>
              <a:off x="3695700" y="1714500"/>
              <a:ext cx="1536700" cy="2032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tIns="0" rIns="0" bIns="0" rtlCol="0" anchor="t"/>
            <a:lstStyle/>
            <a:p>
              <a:pPr algn="l"/>
              <a:fld id="{7385997D-322E-4128-AD1E-0CF8938C7E50}" type="TxLink">
                <a:rPr lang="en-US" sz="800" b="0" i="0" u="none" strike="noStrike">
                  <a:solidFill>
                    <a:srgbClr val="8A94AF"/>
                  </a:solidFill>
                  <a:latin typeface="Calibri" panose="020F0502020204030204" pitchFamily="34" charset="0"/>
                  <a:ea typeface="Calibri"/>
                  <a:cs typeface="Calibri"/>
                </a:rPr>
                <a:pPr algn="l"/>
                <a:t>Across 700 deals</a:t>
              </a:fld>
              <a:endParaRPr lang="en-IN" sz="800" b="0">
                <a:solidFill>
                  <a:srgbClr val="8A94AF"/>
                </a:solidFill>
                <a:latin typeface="Calibri" panose="020F0502020204030204" pitchFamily="34" charset="0"/>
              </a:endParaRPr>
            </a:p>
          </xdr:txBody>
        </xdr:sp>
      </xdr:grpSp>
      <xdr:grpSp>
        <xdr:nvGrpSpPr>
          <xdr:cNvPr id="38" name="Group 37">
            <a:extLst>
              <a:ext uri="{FF2B5EF4-FFF2-40B4-BE49-F238E27FC236}">
                <a16:creationId xmlns:a16="http://schemas.microsoft.com/office/drawing/2014/main" id="{495F6558-C7E0-1478-AE05-5F3DFBB82F90}"/>
              </a:ext>
            </a:extLst>
          </xdr:cNvPr>
          <xdr:cNvGrpSpPr/>
        </xdr:nvGrpSpPr>
        <xdr:grpSpPr>
          <a:xfrm>
            <a:off x="5837903" y="972984"/>
            <a:ext cx="2529758" cy="1167581"/>
            <a:chOff x="5715000" y="952500"/>
            <a:chExt cx="2476500" cy="1143000"/>
          </a:xfrm>
        </xdr:grpSpPr>
        <xdr:sp macro="" textlink="">
          <xdr:nvSpPr>
            <xdr:cNvPr id="7" name="Rectangle: Rounded Corners 6">
              <a:extLst>
                <a:ext uri="{FF2B5EF4-FFF2-40B4-BE49-F238E27FC236}">
                  <a16:creationId xmlns:a16="http://schemas.microsoft.com/office/drawing/2014/main" id="{63DC6767-E32E-2F17-2C8D-41271CF583CF}"/>
                </a:ext>
              </a:extLst>
            </xdr:cNvPr>
            <xdr:cNvSpPr/>
          </xdr:nvSpPr>
          <xdr:spPr>
            <a:xfrm>
              <a:off x="5715000" y="952500"/>
              <a:ext cx="2476500" cy="1143000"/>
            </a:xfrm>
            <a:prstGeom prst="roundRect">
              <a:avLst/>
            </a:prstGeom>
            <a:solidFill>
              <a:srgbClr val="19233D"/>
            </a:solidFill>
            <a:ln w="12700">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Oval 7">
              <a:extLst>
                <a:ext uri="{FF2B5EF4-FFF2-40B4-BE49-F238E27FC236}">
                  <a16:creationId xmlns:a16="http://schemas.microsoft.com/office/drawing/2014/main" id="{C7B62AC9-DD61-BFFD-9ADC-DA9F428E982B}"/>
                </a:ext>
              </a:extLst>
            </xdr:cNvPr>
            <xdr:cNvSpPr/>
          </xdr:nvSpPr>
          <xdr:spPr>
            <a:xfrm>
              <a:off x="5867400" y="1244600"/>
              <a:ext cx="558800" cy="558800"/>
            </a:xfrm>
            <a:prstGeom prst="ellipse">
              <a:avLst/>
            </a:prstGeom>
            <a:solidFill>
              <a:srgbClr val="26C485"/>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700"/>
                <a:t>🤝</a:t>
              </a:r>
            </a:p>
          </xdr:txBody>
        </xdr:sp>
        <xdr:sp macro="" textlink="">
          <xdr:nvSpPr>
            <xdr:cNvPr id="9" name="TextBox 8">
              <a:extLst>
                <a:ext uri="{FF2B5EF4-FFF2-40B4-BE49-F238E27FC236}">
                  <a16:creationId xmlns:a16="http://schemas.microsoft.com/office/drawing/2014/main" id="{D11EFDE6-7B44-B7B6-8345-3FCA0F03BDFB}"/>
                </a:ext>
              </a:extLst>
            </xdr:cNvPr>
            <xdr:cNvSpPr txBox="1"/>
          </xdr:nvSpPr>
          <xdr:spPr>
            <a:xfrm>
              <a:off x="6553200" y="1054100"/>
              <a:ext cx="1536700" cy="2032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tIns="0" rIns="0" bIns="0" rtlCol="0" anchor="t"/>
            <a:lstStyle/>
            <a:p>
              <a:pPr algn="l"/>
              <a:r>
                <a:rPr lang="en-IN" sz="900" b="1">
                  <a:solidFill>
                    <a:srgbClr val="26C485"/>
                  </a:solidFill>
                  <a:latin typeface="Calibri" panose="020F0502020204030204" pitchFamily="34" charset="0"/>
                </a:rPr>
                <a:t>TOTAL DEALS</a:t>
              </a:r>
            </a:p>
          </xdr:txBody>
        </xdr:sp>
        <xdr:sp macro="" textlink="#REF!">
          <xdr:nvSpPr>
            <xdr:cNvPr id="10" name="TextBox 9">
              <a:extLst>
                <a:ext uri="{FF2B5EF4-FFF2-40B4-BE49-F238E27FC236}">
                  <a16:creationId xmlns:a16="http://schemas.microsoft.com/office/drawing/2014/main" id="{46B7CE4E-2710-C938-EC41-EE699C73848E}"/>
                </a:ext>
              </a:extLst>
            </xdr:cNvPr>
            <xdr:cNvSpPr txBox="1"/>
          </xdr:nvSpPr>
          <xdr:spPr>
            <a:xfrm>
              <a:off x="6553200" y="1270000"/>
              <a:ext cx="1536700" cy="431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tIns="0" rIns="0" bIns="0" rtlCol="0" anchor="ctr"/>
            <a:lstStyle/>
            <a:p>
              <a:pPr algn="l"/>
              <a:fld id="{E7EDA65F-CB8F-43B3-B769-31A6388F251D}" type="TxLink">
                <a:rPr lang="en-US" sz="1800" b="1" i="0" u="none" strike="noStrike">
                  <a:solidFill>
                    <a:srgbClr val="FFFFFF"/>
                  </a:solidFill>
                  <a:latin typeface="Calibri" panose="020F0502020204030204" pitchFamily="34" charset="0"/>
                  <a:ea typeface="Calibri"/>
                  <a:cs typeface="Calibri"/>
                </a:rPr>
                <a:pPr algn="l"/>
                <a:t>700</a:t>
              </a:fld>
              <a:endParaRPr lang="en-IN" sz="1800" b="1">
                <a:solidFill>
                  <a:srgbClr val="FFFFFF"/>
                </a:solidFill>
                <a:latin typeface="Calibri" panose="020F0502020204030204" pitchFamily="34" charset="0"/>
              </a:endParaRPr>
            </a:p>
          </xdr:txBody>
        </xdr:sp>
        <xdr:sp macro="" textlink="#REF!">
          <xdr:nvSpPr>
            <xdr:cNvPr id="11" name="TextBox 10">
              <a:extLst>
                <a:ext uri="{FF2B5EF4-FFF2-40B4-BE49-F238E27FC236}">
                  <a16:creationId xmlns:a16="http://schemas.microsoft.com/office/drawing/2014/main" id="{D32F80A8-080C-1B3D-ABC7-0FAFC3624F69}"/>
                </a:ext>
              </a:extLst>
            </xdr:cNvPr>
            <xdr:cNvSpPr txBox="1"/>
          </xdr:nvSpPr>
          <xdr:spPr>
            <a:xfrm>
              <a:off x="6553200" y="1714500"/>
              <a:ext cx="1536700" cy="2032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tIns="0" rIns="0" bIns="0" rtlCol="0" anchor="t"/>
            <a:lstStyle/>
            <a:p>
              <a:pPr algn="l"/>
              <a:fld id="{A140244E-1543-4CE5-ABA5-74B4643956FF}" type="TxLink">
                <a:rPr lang="en-US" sz="800" b="0" i="0" u="none" strike="noStrike">
                  <a:solidFill>
                    <a:srgbClr val="8A94AF"/>
                  </a:solidFill>
                  <a:latin typeface="Calibri" panose="020F0502020204030204" pitchFamily="34" charset="0"/>
                  <a:ea typeface="Calibri"/>
                  <a:cs typeface="Calibri"/>
                </a:rPr>
                <a:pPr algn="l"/>
                <a:t>Funded startups</a:t>
              </a:fld>
              <a:endParaRPr lang="en-IN" sz="800" b="0">
                <a:solidFill>
                  <a:srgbClr val="8A94AF"/>
                </a:solidFill>
                <a:latin typeface="Calibri" panose="020F0502020204030204" pitchFamily="34" charset="0"/>
              </a:endParaRPr>
            </a:p>
          </xdr:txBody>
        </xdr:sp>
      </xdr:grpSp>
      <xdr:grpSp>
        <xdr:nvGrpSpPr>
          <xdr:cNvPr id="39" name="Group 38">
            <a:extLst>
              <a:ext uri="{FF2B5EF4-FFF2-40B4-BE49-F238E27FC236}">
                <a16:creationId xmlns:a16="http://schemas.microsoft.com/office/drawing/2014/main" id="{F0C6D944-835B-E674-D545-AD2E0035147B}"/>
              </a:ext>
            </a:extLst>
          </xdr:cNvPr>
          <xdr:cNvGrpSpPr/>
        </xdr:nvGrpSpPr>
        <xdr:grpSpPr>
          <a:xfrm>
            <a:off x="8756855" y="972984"/>
            <a:ext cx="2529758" cy="1167581"/>
            <a:chOff x="8572500" y="952500"/>
            <a:chExt cx="2476500" cy="1143000"/>
          </a:xfrm>
        </xdr:grpSpPr>
        <xdr:sp macro="" textlink="">
          <xdr:nvSpPr>
            <xdr:cNvPr id="12" name="Rectangle: Rounded Corners 11">
              <a:extLst>
                <a:ext uri="{FF2B5EF4-FFF2-40B4-BE49-F238E27FC236}">
                  <a16:creationId xmlns:a16="http://schemas.microsoft.com/office/drawing/2014/main" id="{E8D805C9-11D7-A0A1-57C7-A54A597919CF}"/>
                </a:ext>
              </a:extLst>
            </xdr:cNvPr>
            <xdr:cNvSpPr/>
          </xdr:nvSpPr>
          <xdr:spPr>
            <a:xfrm>
              <a:off x="8572500" y="952500"/>
              <a:ext cx="2476500" cy="1143000"/>
            </a:xfrm>
            <a:prstGeom prst="roundRect">
              <a:avLst/>
            </a:prstGeom>
            <a:solidFill>
              <a:srgbClr val="19233D"/>
            </a:solidFill>
            <a:ln w="12700">
              <a:solidFill>
                <a:schemeClr val="accent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3" name="Oval 12">
              <a:extLst>
                <a:ext uri="{FF2B5EF4-FFF2-40B4-BE49-F238E27FC236}">
                  <a16:creationId xmlns:a16="http://schemas.microsoft.com/office/drawing/2014/main" id="{BB211C00-1BE1-599A-A450-3E2E1EA55EB0}"/>
                </a:ext>
              </a:extLst>
            </xdr:cNvPr>
            <xdr:cNvSpPr/>
          </xdr:nvSpPr>
          <xdr:spPr>
            <a:xfrm>
              <a:off x="8724900" y="1244600"/>
              <a:ext cx="558800" cy="558800"/>
            </a:xfrm>
            <a:prstGeom prst="ellipse">
              <a:avLst/>
            </a:prstGeom>
            <a:solidFill>
              <a:srgbClr val="F5A623"/>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700"/>
                <a:t>📊</a:t>
              </a:r>
            </a:p>
          </xdr:txBody>
        </xdr:sp>
        <xdr:sp macro="" textlink="">
          <xdr:nvSpPr>
            <xdr:cNvPr id="14" name="TextBox 13">
              <a:extLst>
                <a:ext uri="{FF2B5EF4-FFF2-40B4-BE49-F238E27FC236}">
                  <a16:creationId xmlns:a16="http://schemas.microsoft.com/office/drawing/2014/main" id="{D18BCB00-8940-AE96-5F02-4DDD26C08670}"/>
                </a:ext>
              </a:extLst>
            </xdr:cNvPr>
            <xdr:cNvSpPr txBox="1"/>
          </xdr:nvSpPr>
          <xdr:spPr>
            <a:xfrm>
              <a:off x="9410700" y="1054100"/>
              <a:ext cx="1536700" cy="2032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tIns="0" rIns="0" bIns="0" rtlCol="0" anchor="t"/>
            <a:lstStyle/>
            <a:p>
              <a:pPr algn="l"/>
              <a:r>
                <a:rPr lang="en-IN" sz="900" b="1">
                  <a:solidFill>
                    <a:srgbClr val="F5A623"/>
                  </a:solidFill>
                  <a:latin typeface="Calibri" panose="020F0502020204030204" pitchFamily="34" charset="0"/>
                </a:rPr>
                <a:t>AVG DEAL SIZE  ($M)</a:t>
              </a:r>
            </a:p>
          </xdr:txBody>
        </xdr:sp>
        <xdr:sp macro="" textlink="#REF!">
          <xdr:nvSpPr>
            <xdr:cNvPr id="15" name="TextBox 14">
              <a:extLst>
                <a:ext uri="{FF2B5EF4-FFF2-40B4-BE49-F238E27FC236}">
                  <a16:creationId xmlns:a16="http://schemas.microsoft.com/office/drawing/2014/main" id="{056AE448-AEEA-FBD0-950C-A616B527CF10}"/>
                </a:ext>
              </a:extLst>
            </xdr:cNvPr>
            <xdr:cNvSpPr txBox="1"/>
          </xdr:nvSpPr>
          <xdr:spPr>
            <a:xfrm>
              <a:off x="9410700" y="1270000"/>
              <a:ext cx="1536700" cy="431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tIns="0" rIns="0" bIns="0" rtlCol="0" anchor="ctr"/>
            <a:lstStyle/>
            <a:p>
              <a:pPr algn="l"/>
              <a:fld id="{4343C660-C7F5-4E89-B199-D4F7C11F32F4}" type="TxLink">
                <a:rPr lang="en-US" sz="1800" b="1" i="0" u="none" strike="noStrike">
                  <a:solidFill>
                    <a:srgbClr val="FFFFFF"/>
                  </a:solidFill>
                  <a:latin typeface="Calibri" panose="020F0502020204030204" pitchFamily="34" charset="0"/>
                  <a:ea typeface="Calibri"/>
                  <a:cs typeface="Calibri"/>
                </a:rPr>
                <a:pPr algn="l"/>
                <a:t>$45.2M</a:t>
              </a:fld>
              <a:endParaRPr lang="en-IN" sz="1800" b="1">
                <a:solidFill>
                  <a:srgbClr val="FFFFFF"/>
                </a:solidFill>
                <a:latin typeface="Calibri" panose="020F0502020204030204" pitchFamily="34" charset="0"/>
              </a:endParaRPr>
            </a:p>
          </xdr:txBody>
        </xdr:sp>
        <xdr:sp macro="" textlink="#REF!">
          <xdr:nvSpPr>
            <xdr:cNvPr id="16" name="TextBox 15">
              <a:extLst>
                <a:ext uri="{FF2B5EF4-FFF2-40B4-BE49-F238E27FC236}">
                  <a16:creationId xmlns:a16="http://schemas.microsoft.com/office/drawing/2014/main" id="{51910AFC-F547-7B6F-CAD6-CC151EA3067B}"/>
                </a:ext>
              </a:extLst>
            </xdr:cNvPr>
            <xdr:cNvSpPr txBox="1"/>
          </xdr:nvSpPr>
          <xdr:spPr>
            <a:xfrm>
              <a:off x="9410700" y="1714500"/>
              <a:ext cx="1536700" cy="2032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tIns="0" rIns="0" bIns="0" rtlCol="0" anchor="t"/>
            <a:lstStyle/>
            <a:p>
              <a:pPr algn="l"/>
              <a:fld id="{3A0ADB7B-C0D4-4590-ABB1-66E0CA4DB68D}" type="TxLink">
                <a:rPr lang="en-US" sz="800" b="0" i="0" u="none" strike="noStrike">
                  <a:solidFill>
                    <a:srgbClr val="8A94AF"/>
                  </a:solidFill>
                  <a:latin typeface="Calibri" panose="020F0502020204030204" pitchFamily="34" charset="0"/>
                  <a:ea typeface="Calibri"/>
                  <a:cs typeface="Calibri"/>
                </a:rPr>
                <a:pPr algn="l"/>
                <a:t>Per deal</a:t>
              </a:fld>
              <a:endParaRPr lang="en-IN" sz="800" b="0">
                <a:solidFill>
                  <a:srgbClr val="8A94AF"/>
                </a:solidFill>
                <a:latin typeface="Calibri" panose="020F0502020204030204" pitchFamily="34" charset="0"/>
              </a:endParaRPr>
            </a:p>
          </xdr:txBody>
        </xdr:sp>
      </xdr:grpSp>
      <xdr:grpSp>
        <xdr:nvGrpSpPr>
          <xdr:cNvPr id="40" name="Group 39">
            <a:extLst>
              <a:ext uri="{FF2B5EF4-FFF2-40B4-BE49-F238E27FC236}">
                <a16:creationId xmlns:a16="http://schemas.microsoft.com/office/drawing/2014/main" id="{A0BE88B1-E00B-0CA9-221E-66B315905B86}"/>
              </a:ext>
            </a:extLst>
          </xdr:cNvPr>
          <xdr:cNvGrpSpPr/>
        </xdr:nvGrpSpPr>
        <xdr:grpSpPr>
          <a:xfrm>
            <a:off x="11675806" y="972984"/>
            <a:ext cx="2529759" cy="1167581"/>
            <a:chOff x="11430000" y="952500"/>
            <a:chExt cx="2476500" cy="1143000"/>
          </a:xfrm>
        </xdr:grpSpPr>
        <xdr:sp macro="" textlink="">
          <xdr:nvSpPr>
            <xdr:cNvPr id="17" name="Rectangle: Rounded Corners 16">
              <a:extLst>
                <a:ext uri="{FF2B5EF4-FFF2-40B4-BE49-F238E27FC236}">
                  <a16:creationId xmlns:a16="http://schemas.microsoft.com/office/drawing/2014/main" id="{E0BA7AA0-83B9-E2F2-E288-54BA03F56EBC}"/>
                </a:ext>
              </a:extLst>
            </xdr:cNvPr>
            <xdr:cNvSpPr/>
          </xdr:nvSpPr>
          <xdr:spPr>
            <a:xfrm>
              <a:off x="11430000" y="952500"/>
              <a:ext cx="2476500" cy="1143000"/>
            </a:xfrm>
            <a:prstGeom prst="roundRect">
              <a:avLst/>
            </a:prstGeom>
            <a:solidFill>
              <a:srgbClr val="19233D"/>
            </a:solidFill>
            <a:ln w="12700">
              <a:solidFill>
                <a:schemeClr val="accent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8" name="Oval 17">
              <a:extLst>
                <a:ext uri="{FF2B5EF4-FFF2-40B4-BE49-F238E27FC236}">
                  <a16:creationId xmlns:a16="http://schemas.microsoft.com/office/drawing/2014/main" id="{287CFA38-7D5C-1787-3C40-36E3DC89B042}"/>
                </a:ext>
              </a:extLst>
            </xdr:cNvPr>
            <xdr:cNvSpPr/>
          </xdr:nvSpPr>
          <xdr:spPr>
            <a:xfrm>
              <a:off x="11582400" y="1244600"/>
              <a:ext cx="558800" cy="558800"/>
            </a:xfrm>
            <a:prstGeom prst="ellipse">
              <a:avLst/>
            </a:prstGeom>
            <a:solidFill>
              <a:srgbClr val="3884FF"/>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700"/>
                <a:t>🏢</a:t>
              </a:r>
            </a:p>
          </xdr:txBody>
        </xdr:sp>
        <xdr:sp macro="" textlink="">
          <xdr:nvSpPr>
            <xdr:cNvPr id="19" name="TextBox 18">
              <a:extLst>
                <a:ext uri="{FF2B5EF4-FFF2-40B4-BE49-F238E27FC236}">
                  <a16:creationId xmlns:a16="http://schemas.microsoft.com/office/drawing/2014/main" id="{7D0538E6-6001-F924-C88E-D244E9298E96}"/>
                </a:ext>
              </a:extLst>
            </xdr:cNvPr>
            <xdr:cNvSpPr txBox="1"/>
          </xdr:nvSpPr>
          <xdr:spPr>
            <a:xfrm>
              <a:off x="12268200" y="1054100"/>
              <a:ext cx="1536700" cy="2032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tIns="0" rIns="0" bIns="0" rtlCol="0" anchor="t"/>
            <a:lstStyle/>
            <a:p>
              <a:pPr algn="l"/>
              <a:r>
                <a:rPr lang="en-IN" sz="900" b="1">
                  <a:solidFill>
                    <a:srgbClr val="3884FF"/>
                  </a:solidFill>
                  <a:latin typeface="Calibri" panose="020F0502020204030204" pitchFamily="34" charset="0"/>
                </a:rPr>
                <a:t>TOTAL VALUATION  ($B)</a:t>
              </a:r>
            </a:p>
          </xdr:txBody>
        </xdr:sp>
        <xdr:sp macro="" textlink="#REF!">
          <xdr:nvSpPr>
            <xdr:cNvPr id="20" name="TextBox 19">
              <a:extLst>
                <a:ext uri="{FF2B5EF4-FFF2-40B4-BE49-F238E27FC236}">
                  <a16:creationId xmlns:a16="http://schemas.microsoft.com/office/drawing/2014/main" id="{8C4D33DA-4C43-DDE1-E1BC-86359AB63C32}"/>
                </a:ext>
              </a:extLst>
            </xdr:cNvPr>
            <xdr:cNvSpPr txBox="1"/>
          </xdr:nvSpPr>
          <xdr:spPr>
            <a:xfrm>
              <a:off x="12268200" y="1270000"/>
              <a:ext cx="1536700" cy="431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tIns="0" rIns="0" bIns="0" rtlCol="0" anchor="ctr"/>
            <a:lstStyle/>
            <a:p>
              <a:pPr algn="l"/>
              <a:fld id="{92F42415-29AC-4D5E-85BD-00A02006B292}" type="TxLink">
                <a:rPr lang="en-US" sz="1800" b="1" i="0" u="none" strike="noStrike">
                  <a:solidFill>
                    <a:srgbClr val="FFFFFF"/>
                  </a:solidFill>
                  <a:latin typeface="Calibri" panose="020F0502020204030204" pitchFamily="34" charset="0"/>
                  <a:ea typeface="Calibri"/>
                  <a:cs typeface="Calibri"/>
                </a:rPr>
                <a:pPr algn="l"/>
                <a:t>$225.7B</a:t>
              </a:fld>
              <a:endParaRPr lang="en-IN" sz="1800" b="1">
                <a:solidFill>
                  <a:srgbClr val="FFFFFF"/>
                </a:solidFill>
                <a:latin typeface="Calibri" panose="020F0502020204030204" pitchFamily="34" charset="0"/>
              </a:endParaRPr>
            </a:p>
          </xdr:txBody>
        </xdr:sp>
        <xdr:sp macro="" textlink="#REF!">
          <xdr:nvSpPr>
            <xdr:cNvPr id="21" name="TextBox 20">
              <a:extLst>
                <a:ext uri="{FF2B5EF4-FFF2-40B4-BE49-F238E27FC236}">
                  <a16:creationId xmlns:a16="http://schemas.microsoft.com/office/drawing/2014/main" id="{2C726B36-E7BD-FD5A-9FA1-B52DBCFC5760}"/>
                </a:ext>
              </a:extLst>
            </xdr:cNvPr>
            <xdr:cNvSpPr txBox="1"/>
          </xdr:nvSpPr>
          <xdr:spPr>
            <a:xfrm>
              <a:off x="12268200" y="1714500"/>
              <a:ext cx="1536700" cy="2032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tIns="0" rIns="0" bIns="0" rtlCol="0" anchor="t"/>
            <a:lstStyle/>
            <a:p>
              <a:pPr algn="l"/>
              <a:fld id="{19DDF819-BE09-4682-A7A4-3E244F8A61EB}" type="TxLink">
                <a:rPr lang="en-US" sz="800" b="0" i="0" u="none" strike="noStrike">
                  <a:solidFill>
                    <a:srgbClr val="8A94AF"/>
                  </a:solidFill>
                  <a:latin typeface="Calibri" panose="020F0502020204030204" pitchFamily="34" charset="0"/>
                  <a:ea typeface="Calibri"/>
                  <a:cs typeface="Calibri"/>
                </a:rPr>
                <a:pPr algn="l"/>
                <a:t>Across 700 startups</a:t>
              </a:fld>
              <a:endParaRPr lang="en-IN" sz="800" b="0">
                <a:solidFill>
                  <a:srgbClr val="8A94AF"/>
                </a:solidFill>
                <a:latin typeface="Calibri" panose="020F0502020204030204" pitchFamily="34" charset="0"/>
              </a:endParaRPr>
            </a:p>
          </xdr:txBody>
        </xdr:sp>
      </xdr:grpSp>
      <xdr:grpSp>
        <xdr:nvGrpSpPr>
          <xdr:cNvPr id="41" name="Group 40">
            <a:extLst>
              <a:ext uri="{FF2B5EF4-FFF2-40B4-BE49-F238E27FC236}">
                <a16:creationId xmlns:a16="http://schemas.microsoft.com/office/drawing/2014/main" id="{938F8380-01C2-ABAF-B697-30ED965AE0CB}"/>
              </a:ext>
            </a:extLst>
          </xdr:cNvPr>
          <xdr:cNvGrpSpPr/>
        </xdr:nvGrpSpPr>
        <xdr:grpSpPr>
          <a:xfrm>
            <a:off x="14594758" y="972984"/>
            <a:ext cx="2529758" cy="1167581"/>
            <a:chOff x="14287500" y="952500"/>
            <a:chExt cx="2476500" cy="1143000"/>
          </a:xfrm>
        </xdr:grpSpPr>
        <xdr:sp macro="" textlink="">
          <xdr:nvSpPr>
            <xdr:cNvPr id="22" name="Rectangle: Rounded Corners 21">
              <a:extLst>
                <a:ext uri="{FF2B5EF4-FFF2-40B4-BE49-F238E27FC236}">
                  <a16:creationId xmlns:a16="http://schemas.microsoft.com/office/drawing/2014/main" id="{9B00196E-97BB-8C78-B8A3-AACBC72560B7}"/>
                </a:ext>
              </a:extLst>
            </xdr:cNvPr>
            <xdr:cNvSpPr/>
          </xdr:nvSpPr>
          <xdr:spPr>
            <a:xfrm>
              <a:off x="14287500" y="952500"/>
              <a:ext cx="2476500" cy="1143000"/>
            </a:xfrm>
            <a:prstGeom prst="roundRect">
              <a:avLst/>
            </a:prstGeom>
            <a:solidFill>
              <a:srgbClr val="19233D"/>
            </a:solidFill>
            <a:ln w="12700">
              <a:solidFill>
                <a:schemeClr val="accent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3" name="Oval 22">
              <a:extLst>
                <a:ext uri="{FF2B5EF4-FFF2-40B4-BE49-F238E27FC236}">
                  <a16:creationId xmlns:a16="http://schemas.microsoft.com/office/drawing/2014/main" id="{B66DDE1A-7E59-B262-2D63-FC4D7EBA44EF}"/>
                </a:ext>
              </a:extLst>
            </xdr:cNvPr>
            <xdr:cNvSpPr/>
          </xdr:nvSpPr>
          <xdr:spPr>
            <a:xfrm>
              <a:off x="14439900" y="1244600"/>
              <a:ext cx="558800" cy="558800"/>
            </a:xfrm>
            <a:prstGeom prst="ellipse">
              <a:avLst/>
            </a:prstGeom>
            <a:solidFill>
              <a:srgbClr val="F05A6E"/>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700"/>
                <a:t>🏆</a:t>
              </a:r>
            </a:p>
          </xdr:txBody>
        </xdr:sp>
        <xdr:sp macro="" textlink="">
          <xdr:nvSpPr>
            <xdr:cNvPr id="24" name="TextBox 23">
              <a:extLst>
                <a:ext uri="{FF2B5EF4-FFF2-40B4-BE49-F238E27FC236}">
                  <a16:creationId xmlns:a16="http://schemas.microsoft.com/office/drawing/2014/main" id="{EF0EB8B3-D3A2-90EC-BFFE-BEB8255F3EC1}"/>
                </a:ext>
              </a:extLst>
            </xdr:cNvPr>
            <xdr:cNvSpPr txBox="1"/>
          </xdr:nvSpPr>
          <xdr:spPr>
            <a:xfrm>
              <a:off x="15125700" y="1054100"/>
              <a:ext cx="1536700" cy="2032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tIns="0" rIns="0" bIns="0" rtlCol="0" anchor="t"/>
            <a:lstStyle/>
            <a:p>
              <a:pPr algn="l"/>
              <a:r>
                <a:rPr lang="en-IN" sz="900" b="1">
                  <a:solidFill>
                    <a:srgbClr val="F05A6E"/>
                  </a:solidFill>
                  <a:latin typeface="Calibri" panose="020F0502020204030204" pitchFamily="34" charset="0"/>
                </a:rPr>
                <a:t>LARGEST DEAL  ($M)</a:t>
              </a:r>
            </a:p>
          </xdr:txBody>
        </xdr:sp>
        <xdr:sp macro="" textlink="#REF!">
          <xdr:nvSpPr>
            <xdr:cNvPr id="25" name="TextBox 24">
              <a:extLst>
                <a:ext uri="{FF2B5EF4-FFF2-40B4-BE49-F238E27FC236}">
                  <a16:creationId xmlns:a16="http://schemas.microsoft.com/office/drawing/2014/main" id="{8B7DC6C6-D8E3-2125-33A4-3E19A8FA695E}"/>
                </a:ext>
              </a:extLst>
            </xdr:cNvPr>
            <xdr:cNvSpPr txBox="1"/>
          </xdr:nvSpPr>
          <xdr:spPr>
            <a:xfrm>
              <a:off x="15125700" y="1270000"/>
              <a:ext cx="1536700" cy="431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tIns="0" rIns="0" bIns="0" rtlCol="0" anchor="ctr"/>
            <a:lstStyle/>
            <a:p>
              <a:pPr algn="l"/>
              <a:fld id="{9BECC0A2-E5A2-4513-ACC3-E96EBC1CCB8B}" type="TxLink">
                <a:rPr lang="en-US" sz="1800" b="1" i="0" u="none" strike="noStrike">
                  <a:solidFill>
                    <a:srgbClr val="FFFFFF"/>
                  </a:solidFill>
                  <a:latin typeface="Calibri" panose="020F0502020204030204" pitchFamily="34" charset="0"/>
                  <a:ea typeface="Calibri"/>
                  <a:cs typeface="Calibri"/>
                </a:rPr>
                <a:pPr algn="l"/>
                <a:t>$494.1M</a:t>
              </a:fld>
              <a:endParaRPr lang="en-IN" sz="1800" b="1">
                <a:solidFill>
                  <a:srgbClr val="FFFFFF"/>
                </a:solidFill>
                <a:latin typeface="Calibri" panose="020F0502020204030204" pitchFamily="34" charset="0"/>
              </a:endParaRPr>
            </a:p>
          </xdr:txBody>
        </xdr:sp>
        <xdr:sp macro="" textlink="#REF!">
          <xdr:nvSpPr>
            <xdr:cNvPr id="26" name="TextBox 25">
              <a:extLst>
                <a:ext uri="{FF2B5EF4-FFF2-40B4-BE49-F238E27FC236}">
                  <a16:creationId xmlns:a16="http://schemas.microsoft.com/office/drawing/2014/main" id="{212C6637-2E43-1FDB-D390-5CE0F9DBF56F}"/>
                </a:ext>
              </a:extLst>
            </xdr:cNvPr>
            <xdr:cNvSpPr txBox="1"/>
          </xdr:nvSpPr>
          <xdr:spPr>
            <a:xfrm>
              <a:off x="15125700" y="1714500"/>
              <a:ext cx="1536700" cy="2032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tIns="0" rIns="0" bIns="0" rtlCol="0" anchor="t"/>
            <a:lstStyle/>
            <a:p>
              <a:pPr algn="l"/>
              <a:fld id="{800D87A2-2B4C-425B-B0BA-C6B4B1BBF58D}" type="TxLink">
                <a:rPr lang="en-US" sz="800" b="0" i="0" u="none" strike="noStrike">
                  <a:solidFill>
                    <a:srgbClr val="8A94AF"/>
                  </a:solidFill>
                  <a:latin typeface="Calibri" panose="020F0502020204030204" pitchFamily="34" charset="0"/>
                  <a:ea typeface="Calibri"/>
                  <a:cs typeface="Calibri"/>
                </a:rPr>
                <a:pPr algn="l"/>
                <a:t>Single biggest round</a:t>
              </a:fld>
              <a:endParaRPr lang="en-IN" sz="800" b="0">
                <a:solidFill>
                  <a:srgbClr val="8A94AF"/>
                </a:solidFill>
                <a:latin typeface="Calibri" panose="020F0502020204030204" pitchFamily="34" charset="0"/>
              </a:endParaRPr>
            </a:p>
          </xdr:txBody>
        </xdr:sp>
      </xdr:grpSp>
    </xdr:grpSp>
    <xdr:clientData/>
  </xdr:twoCellAnchor>
  <xdr:twoCellAnchor>
    <xdr:from>
      <xdr:col>41</xdr:col>
      <xdr:colOff>0</xdr:colOff>
      <xdr:row>12</xdr:row>
      <xdr:rowOff>0</xdr:rowOff>
    </xdr:from>
    <xdr:to>
      <xdr:col>65</xdr:col>
      <xdr:colOff>0</xdr:colOff>
      <xdr:row>25</xdr:row>
      <xdr:rowOff>0</xdr:rowOff>
    </xdr:to>
    <xdr:graphicFrame macro="">
      <xdr:nvGraphicFramePr>
        <xdr:cNvPr id="28" name="Chart 27">
          <a:extLst>
            <a:ext uri="{FF2B5EF4-FFF2-40B4-BE49-F238E27FC236}">
              <a16:creationId xmlns:a16="http://schemas.microsoft.com/office/drawing/2014/main" id="{D0142BB1-3D8B-A81C-9735-96FDF373C9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67</xdr:col>
      <xdr:colOff>0</xdr:colOff>
      <xdr:row>12</xdr:row>
      <xdr:rowOff>0</xdr:rowOff>
    </xdr:from>
    <xdr:to>
      <xdr:col>91</xdr:col>
      <xdr:colOff>0</xdr:colOff>
      <xdr:row>25</xdr:row>
      <xdr:rowOff>0</xdr:rowOff>
    </xdr:to>
    <xdr:graphicFrame macro="">
      <xdr:nvGraphicFramePr>
        <xdr:cNvPr id="29" name="Chart 28">
          <a:extLst>
            <a:ext uri="{FF2B5EF4-FFF2-40B4-BE49-F238E27FC236}">
              <a16:creationId xmlns:a16="http://schemas.microsoft.com/office/drawing/2014/main" id="{45F5E159-6BCC-56B9-AC72-AB1B6E336F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0</xdr:colOff>
      <xdr:row>26</xdr:row>
      <xdr:rowOff>0</xdr:rowOff>
    </xdr:from>
    <xdr:to>
      <xdr:col>39</xdr:col>
      <xdr:colOff>0</xdr:colOff>
      <xdr:row>39</xdr:row>
      <xdr:rowOff>0</xdr:rowOff>
    </xdr:to>
    <xdr:graphicFrame macro="">
      <xdr:nvGraphicFramePr>
        <xdr:cNvPr id="30" name="Chart 29">
          <a:extLst>
            <a:ext uri="{FF2B5EF4-FFF2-40B4-BE49-F238E27FC236}">
              <a16:creationId xmlns:a16="http://schemas.microsoft.com/office/drawing/2014/main" id="{A28D5676-680A-F106-C46F-D9AF90CFD3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41</xdr:col>
      <xdr:colOff>0</xdr:colOff>
      <xdr:row>26</xdr:row>
      <xdr:rowOff>0</xdr:rowOff>
    </xdr:from>
    <xdr:to>
      <xdr:col>65</xdr:col>
      <xdr:colOff>0</xdr:colOff>
      <xdr:row>39</xdr:row>
      <xdr:rowOff>0</xdr:rowOff>
    </xdr:to>
    <xdr:graphicFrame macro="">
      <xdr:nvGraphicFramePr>
        <xdr:cNvPr id="31" name="Chart 30">
          <a:extLst>
            <a:ext uri="{FF2B5EF4-FFF2-40B4-BE49-F238E27FC236}">
              <a16:creationId xmlns:a16="http://schemas.microsoft.com/office/drawing/2014/main" id="{6F9711A3-506A-839A-E893-86542BDA1B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67</xdr:col>
      <xdr:colOff>0</xdr:colOff>
      <xdr:row>26</xdr:row>
      <xdr:rowOff>0</xdr:rowOff>
    </xdr:from>
    <xdr:to>
      <xdr:col>91</xdr:col>
      <xdr:colOff>0</xdr:colOff>
      <xdr:row>39</xdr:row>
      <xdr:rowOff>0</xdr:rowOff>
    </xdr:to>
    <xdr:graphicFrame macro="">
      <xdr:nvGraphicFramePr>
        <xdr:cNvPr id="32" name="Chart 31">
          <a:extLst>
            <a:ext uri="{FF2B5EF4-FFF2-40B4-BE49-F238E27FC236}">
              <a16:creationId xmlns:a16="http://schemas.microsoft.com/office/drawing/2014/main" id="{8C9E9419-C17E-46DB-FD35-82B0BC3AC7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xdr:col>
      <xdr:colOff>0</xdr:colOff>
      <xdr:row>7</xdr:row>
      <xdr:rowOff>0</xdr:rowOff>
    </xdr:from>
    <xdr:to>
      <xdr:col>13</xdr:col>
      <xdr:colOff>0</xdr:colOff>
      <xdr:row>16</xdr:row>
      <xdr:rowOff>63500</xdr:rowOff>
    </xdr:to>
    <mc:AlternateContent xmlns:mc="http://schemas.openxmlformats.org/markup-compatibility/2006" xmlns:a14="http://schemas.microsoft.com/office/drawing/2010/main">
      <mc:Choice Requires="a14">
        <xdr:graphicFrame macro="">
          <xdr:nvGraphicFramePr>
            <xdr:cNvPr id="33" name="Sector">
              <a:extLst>
                <a:ext uri="{FF2B5EF4-FFF2-40B4-BE49-F238E27FC236}">
                  <a16:creationId xmlns:a16="http://schemas.microsoft.com/office/drawing/2014/main" id="{510F4A52-7578-F1B6-48D6-164D806120ED}"/>
                </a:ext>
              </a:extLst>
            </xdr:cNvPr>
            <xdr:cNvGraphicFramePr/>
          </xdr:nvGraphicFramePr>
          <xdr:xfrm>
            <a:off x="0" y="0"/>
            <a:ext cx="0" cy="0"/>
          </xdr:xfrm>
          <a:graphic>
            <a:graphicData uri="http://schemas.microsoft.com/office/drawing/2010/slicer">
              <sle:slicer xmlns:sle="http://schemas.microsoft.com/office/drawing/2010/slicer" name="Sector"/>
            </a:graphicData>
          </a:graphic>
        </xdr:graphicFrame>
      </mc:Choice>
      <mc:Fallback xmlns="">
        <xdr:sp macro="" textlink="">
          <xdr:nvSpPr>
            <xdr:cNvPr id="0" name=""/>
            <xdr:cNvSpPr>
              <a:spLocks noTextEdit="1"/>
            </xdr:cNvSpPr>
          </xdr:nvSpPr>
          <xdr:spPr>
            <a:xfrm>
              <a:off x="190500" y="1333500"/>
              <a:ext cx="2286000" cy="177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0</xdr:colOff>
      <xdr:row>17</xdr:row>
      <xdr:rowOff>0</xdr:rowOff>
    </xdr:from>
    <xdr:to>
      <xdr:col>13</xdr:col>
      <xdr:colOff>0</xdr:colOff>
      <xdr:row>23</xdr:row>
      <xdr:rowOff>63500</xdr:rowOff>
    </xdr:to>
    <mc:AlternateContent xmlns:mc="http://schemas.openxmlformats.org/markup-compatibility/2006" xmlns:a14="http://schemas.microsoft.com/office/drawing/2010/main">
      <mc:Choice Requires="a14">
        <xdr:graphicFrame macro="">
          <xdr:nvGraphicFramePr>
            <xdr:cNvPr id="34" name="Funding Stage">
              <a:extLst>
                <a:ext uri="{FF2B5EF4-FFF2-40B4-BE49-F238E27FC236}">
                  <a16:creationId xmlns:a16="http://schemas.microsoft.com/office/drawing/2014/main" id="{326C31D4-9907-3CE8-DB08-2994F504D821}"/>
                </a:ext>
              </a:extLst>
            </xdr:cNvPr>
            <xdr:cNvGraphicFramePr/>
          </xdr:nvGraphicFramePr>
          <xdr:xfrm>
            <a:off x="0" y="0"/>
            <a:ext cx="0" cy="0"/>
          </xdr:xfrm>
          <a:graphic>
            <a:graphicData uri="http://schemas.microsoft.com/office/drawing/2010/slicer">
              <sle:slicer xmlns:sle="http://schemas.microsoft.com/office/drawing/2010/slicer" name="Funding Stage"/>
            </a:graphicData>
          </a:graphic>
        </xdr:graphicFrame>
      </mc:Choice>
      <mc:Fallback xmlns="">
        <xdr:sp macro="" textlink="">
          <xdr:nvSpPr>
            <xdr:cNvPr id="0" name=""/>
            <xdr:cNvSpPr>
              <a:spLocks noTextEdit="1"/>
            </xdr:cNvSpPr>
          </xdr:nvSpPr>
          <xdr:spPr>
            <a:xfrm>
              <a:off x="190500" y="3238500"/>
              <a:ext cx="2286000" cy="1206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0</xdr:colOff>
      <xdr:row>24</xdr:row>
      <xdr:rowOff>0</xdr:rowOff>
    </xdr:from>
    <xdr:to>
      <xdr:col>13</xdr:col>
      <xdr:colOff>0</xdr:colOff>
      <xdr:row>30</xdr:row>
      <xdr:rowOff>127000</xdr:rowOff>
    </xdr:to>
    <mc:AlternateContent xmlns:mc="http://schemas.openxmlformats.org/markup-compatibility/2006" xmlns:a14="http://schemas.microsoft.com/office/drawing/2010/main">
      <mc:Choice Requires="a14">
        <xdr:graphicFrame macro="">
          <xdr:nvGraphicFramePr>
            <xdr:cNvPr id="35" name="Funding Year">
              <a:extLst>
                <a:ext uri="{FF2B5EF4-FFF2-40B4-BE49-F238E27FC236}">
                  <a16:creationId xmlns:a16="http://schemas.microsoft.com/office/drawing/2014/main" id="{711CD6E8-F32C-76AC-B341-F9C4761C9306}"/>
                </a:ext>
              </a:extLst>
            </xdr:cNvPr>
            <xdr:cNvGraphicFramePr/>
          </xdr:nvGraphicFramePr>
          <xdr:xfrm>
            <a:off x="0" y="0"/>
            <a:ext cx="0" cy="0"/>
          </xdr:xfrm>
          <a:graphic>
            <a:graphicData uri="http://schemas.microsoft.com/office/drawing/2010/slicer">
              <sle:slicer xmlns:sle="http://schemas.microsoft.com/office/drawing/2010/slicer" name="Funding Year"/>
            </a:graphicData>
          </a:graphic>
        </xdr:graphicFrame>
      </mc:Choice>
      <mc:Fallback xmlns="">
        <xdr:sp macro="" textlink="">
          <xdr:nvSpPr>
            <xdr:cNvPr id="0" name=""/>
            <xdr:cNvSpPr>
              <a:spLocks noTextEdit="1"/>
            </xdr:cNvSpPr>
          </xdr:nvSpPr>
          <xdr:spPr>
            <a:xfrm>
              <a:off x="190500" y="4572000"/>
              <a:ext cx="2286000" cy="127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0</xdr:colOff>
      <xdr:row>32</xdr:row>
      <xdr:rowOff>0</xdr:rowOff>
    </xdr:from>
    <xdr:to>
      <xdr:col>13</xdr:col>
      <xdr:colOff>0</xdr:colOff>
      <xdr:row>39</xdr:row>
      <xdr:rowOff>63500</xdr:rowOff>
    </xdr:to>
    <mc:AlternateContent xmlns:mc="http://schemas.openxmlformats.org/markup-compatibility/2006" xmlns:a14="http://schemas.microsoft.com/office/drawing/2010/main">
      <mc:Choice Requires="a14">
        <xdr:graphicFrame macro="">
          <xdr:nvGraphicFramePr>
            <xdr:cNvPr id="36" name="City">
              <a:extLst>
                <a:ext uri="{FF2B5EF4-FFF2-40B4-BE49-F238E27FC236}">
                  <a16:creationId xmlns:a16="http://schemas.microsoft.com/office/drawing/2014/main" id="{AF800801-BB12-94F0-75E9-1267DE3F36B4}"/>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90500" y="6096000"/>
              <a:ext cx="2286000" cy="139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0</xdr:colOff>
      <xdr:row>12</xdr:row>
      <xdr:rowOff>0</xdr:rowOff>
    </xdr:from>
    <xdr:to>
      <xdr:col>39</xdr:col>
      <xdr:colOff>0</xdr:colOff>
      <xdr:row>25</xdr:row>
      <xdr:rowOff>0</xdr:rowOff>
    </xdr:to>
    <xdr:graphicFrame macro="">
      <xdr:nvGraphicFramePr>
        <xdr:cNvPr id="27" name="Chart 26">
          <a:extLst>
            <a:ext uri="{FF2B5EF4-FFF2-40B4-BE49-F238E27FC236}">
              <a16:creationId xmlns:a16="http://schemas.microsoft.com/office/drawing/2014/main" id="{07799C80-FE20-40DB-C1D0-421307F4B9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AITANYA KHURANA" refreshedDate="46211.874017013892" missingItemsLimit="0" createdVersion="8" refreshedVersion="8" minRefreshableVersion="3" recordCount="700" xr:uid="{917C0E3D-417F-4844-9B51-98C34B0372C4}">
  <cacheSource type="worksheet">
    <worksheetSource ref="A1:K701" sheet="Data"/>
  </cacheSource>
  <cacheFields count="11">
    <cacheField name="Company" numFmtId="0">
      <sharedItems count="700">
        <s v="MedBox"/>
        <s v="LumenLabs"/>
        <s v="QuickBox"/>
        <s v="Astraly"/>
        <s v="TerraLearn"/>
        <s v="OrbitLearn"/>
        <s v="FinCare"/>
        <s v="BoldBox"/>
        <s v="NovaHub"/>
        <s v="VityFlow"/>
        <s v="SnapTech"/>
        <s v="FinKart"/>
        <s v="VoltStack"/>
        <s v="FreshWorks"/>
        <s v="LoopKart"/>
        <s v="PeakBee"/>
        <s v="LumenBee"/>
        <s v="ZipWave"/>
        <s v="VoltWave"/>
        <s v="PrimeVerse"/>
        <s v="FluxMind"/>
        <s v="KiteKart"/>
        <s v="NimbusCare"/>
        <s v="HyperPay"/>
        <s v="BoldSphere"/>
        <s v="GreenLabs"/>
        <s v="KiteLearn"/>
        <s v="ZipWallet"/>
        <s v="MetaTech"/>
        <s v="LoopNest"/>
        <s v="AstraGenix"/>
        <s v="PixelGenix"/>
        <s v="NovaFarm"/>
        <s v="CredCare"/>
        <s v="CredKart"/>
        <s v="Zenily"/>
        <s v="CloudNest"/>
        <s v="QuickVerse"/>
        <s v="EduWorks"/>
        <s v="CredYard"/>
        <s v="PixelFlow"/>
        <s v="BrightLearn"/>
        <s v="FreshYard"/>
        <s v="RapidLearn"/>
        <s v="GreenStack"/>
        <s v="OrbitWallet"/>
        <s v="LoopMind"/>
        <s v="EduLoop"/>
        <s v="NextKart"/>
        <s v="FreshFarm"/>
        <s v="VoltFleet"/>
        <s v="LumenKart"/>
        <s v="BrightTech"/>
        <s v="NimbusHub"/>
        <s v="BoldYard"/>
        <s v="PeakLoop"/>
        <s v="CartPay"/>
        <s v="PrimeGenix"/>
        <s v="VertexTech"/>
        <s v="PrimeLoop"/>
        <s v="EchoGenix"/>
        <s v="KiteVerse"/>
        <s v="BoldTech"/>
        <s v="CartNest"/>
        <s v="SageLabs"/>
        <s v="AstraSphere"/>
        <s v="FinLabs"/>
        <s v="PrimeGrid"/>
        <s v="FreshFleet"/>
        <s v="UrbanLoop"/>
        <s v="NovaSphere"/>
        <s v="AstraGrid"/>
        <s v="MetaFleet"/>
        <s v="CloudHub"/>
        <s v="HyperGenix"/>
        <s v="TerraWorks"/>
        <s v="SagePay"/>
        <s v="ByteLabs"/>
        <s v="FluxWorks"/>
        <s v="SageBox"/>
        <s v="FreshVerse"/>
        <s v="OrbitBot"/>
        <s v="VityWave"/>
        <s v="MedKart"/>
        <s v="Peakly"/>
        <s v="LoopFarm"/>
        <s v="SageHub"/>
        <s v="NextBox"/>
        <s v="PixelFleet"/>
        <s v="SnapYard"/>
        <s v="MedBase"/>
        <s v="TerraYard"/>
        <s v="Quickly"/>
        <s v="BoldKart"/>
        <s v="EchoWave"/>
        <s v="BrightMind"/>
        <s v="ZipBee"/>
        <s v="EchoNest"/>
        <s v="EduBase"/>
        <s v="PeakBox"/>
        <s v="HyperWorks"/>
        <s v="PixelWorks"/>
        <s v="Hyperly"/>
        <s v="TerraFlow"/>
        <s v="NimbusKart"/>
        <s v="HyperWallet"/>
        <s v="QuickWorks"/>
        <s v="CredMind"/>
        <s v="VertexLoop"/>
        <s v="QuickMind"/>
        <s v="RapidFlow"/>
        <s v="VityVerse"/>
        <s v="PixelStack"/>
        <s v="HyperLearn"/>
        <s v="UrbanLabs"/>
        <s v="FreshWallet"/>
        <s v="QuickBee"/>
        <s v="UrbanVerse"/>
        <s v="OrbitFarm"/>
        <s v="PrimeKart"/>
        <s v="NimbusGrid"/>
        <s v="AstraHub"/>
        <s v="KiteSphere"/>
        <s v="NextFarm"/>
        <s v="SageCare"/>
        <s v="SmartGrid"/>
        <s v="PeakNest"/>
        <s v="RapidBot"/>
        <s v="MetaLabs"/>
        <s v="RapidHub"/>
        <s v="ZeniBox"/>
        <s v="FluxYard"/>
        <s v="KitePay"/>
        <s v="VertexFlow"/>
        <s v="AstraLoop"/>
        <s v="SnapLoop"/>
        <s v="ZeniWorks"/>
        <s v="OrbitCare"/>
        <s v="RapidGenix"/>
        <s v="VertexBox"/>
        <s v="FinBox"/>
        <s v="KiteFleet"/>
        <s v="Voltly"/>
        <s v="GreenBase"/>
        <s v="VertexWorks"/>
        <s v="ZipYard"/>
        <s v="AstraBee"/>
        <s v="FluxKart"/>
        <s v="FluxCare"/>
        <s v="SnapStack"/>
        <s v="CredWave"/>
        <s v="VityMind"/>
        <s v="PrimeHub"/>
        <s v="NextWave"/>
        <s v="NovaFlow"/>
        <s v="FluxWave"/>
        <s v="CloudGrid"/>
        <s v="HyperBee"/>
        <s v="SnapFarm"/>
        <s v="CredFleet"/>
        <s v="BrightVerse"/>
        <s v="VoltMind"/>
        <s v="ZeniYard"/>
        <s v="AstraCare"/>
        <s v="Novaly"/>
        <s v="BoldGrid"/>
        <s v="LumenVerse"/>
        <s v="Greenly"/>
        <s v="FluxFlow"/>
        <s v="PeakFleet"/>
        <s v="PixelLearn"/>
        <s v="NimbusNest"/>
        <s v="GreenGenix"/>
        <s v="OrbitStack"/>
        <s v="LoopCare"/>
        <s v="EchoSphere"/>
        <s v="RapidWorks"/>
        <s v="OrbitBox"/>
        <s v="KiteGrid"/>
        <s v="LoopBase"/>
        <s v="NextWorks"/>
        <s v="OrbitGenix"/>
        <s v="BoldStack"/>
        <s v="PixelWave"/>
        <s v="LoopFlow"/>
        <s v="Nimbusly"/>
        <s v="SageTech"/>
        <s v="OrbitHub"/>
        <s v="TerraCare"/>
        <s v="ZipFleet"/>
        <s v="QuickFarm"/>
        <s v="SageMind"/>
        <s v="CredLearn"/>
        <s v="SmartWallet"/>
        <s v="CartBox"/>
        <s v="PeakFarm"/>
        <s v="PixelNest"/>
        <s v="GreenBot"/>
        <s v="UrbanSphere"/>
        <s v="OrbitWorks"/>
        <s v="CartWorks"/>
        <s v="PeakBase"/>
        <s v="VityLoop"/>
        <s v="VityBot"/>
        <s v="OrbitBase"/>
        <s v="EchoFleet"/>
        <s v="ZeniGrid"/>
        <s v="UrbanKart"/>
        <s v="TerraFleet"/>
        <s v="EduCare"/>
        <s v="MedTech"/>
        <s v="SmartBot"/>
        <s v="SageWallet"/>
        <s v="ZipFlow"/>
        <s v="PrimeLabs"/>
        <s v="SnapCare"/>
        <s v="ByteBox"/>
        <s v="VoltWorks"/>
        <s v="HyperBase"/>
        <s v="GreenVerse"/>
        <s v="UrbanTech"/>
        <s v="QuickStack"/>
        <s v="PeakWorks"/>
        <s v="OrbitLabs"/>
        <s v="PrimeWave"/>
        <s v="FluxGrid"/>
        <s v="GreenTech"/>
        <s v="NextTech"/>
        <s v="VoltGrid"/>
        <s v="PrimeWallet"/>
        <s v="PrimeSphere"/>
        <s v="MetaPay"/>
        <s v="LoopTech"/>
        <s v="GreenHub"/>
        <s v="CredGenix"/>
        <s v="SnapPay"/>
        <s v="VertexLearn"/>
        <s v="VertexWave"/>
        <s v="FinNest"/>
        <s v="BoldCare"/>
        <s v="FreshGenix"/>
        <s v="UrbanMind"/>
        <s v="SageWorks"/>
        <s v="BoldFlow"/>
        <s v="BrightYard"/>
        <s v="LoopPay"/>
        <s v="ZeniVerse"/>
        <s v="QuickGrid"/>
        <s v="EchoStack"/>
        <s v="MedHub"/>
        <s v="NextNest"/>
        <s v="FluxLoop"/>
        <s v="Fluxly"/>
        <s v="FinFarm"/>
        <s v="RapidVerse"/>
        <s v="CartStack"/>
        <s v="RapidBase"/>
        <s v="GreenYard"/>
        <s v="FinPay"/>
        <s v="SmartVerse"/>
        <s v="LoopLoop"/>
        <s v="SageLoop"/>
        <s v="Cloudly"/>
        <s v="SmartFleet"/>
        <s v="RapidKart"/>
        <s v="LoopHub"/>
        <s v="HyperBot"/>
        <s v="RapidCare"/>
        <s v="NovaFleet"/>
        <s v="KiteNest"/>
        <s v="BrightWorks"/>
        <s v="ByteFleet"/>
        <s v="AstraStack"/>
        <s v="PixelBot"/>
        <s v="PeakStack"/>
        <s v="CredNest"/>
        <s v="GreenFlow"/>
        <s v="Ziply"/>
        <s v="VertexLabs"/>
        <s v="FinYard"/>
        <s v="EduTech"/>
        <s v="UrbanFlow"/>
        <s v="RapidStack"/>
        <s v="BrightCare"/>
        <s v="UrbanHub"/>
        <s v="AstraTech"/>
        <s v="MedLearn"/>
        <s v="ZipFarm"/>
        <s v="NimbusSphere"/>
        <s v="NimbusBase"/>
        <s v="RapidFarm"/>
        <s v="PeakHub"/>
        <s v="CredStack"/>
        <s v="OrbitNest"/>
        <s v="SageFarm"/>
        <s v="AstraMind"/>
        <s v="LumenMind"/>
        <s v="BrightPay"/>
        <s v="LumenTech"/>
        <s v="ZeniTech"/>
        <s v="CartLearn"/>
        <s v="NextStack"/>
        <s v="KiteCare"/>
        <s v="EchoLearn"/>
        <s v="Eduly"/>
        <s v="SnapMind"/>
        <s v="VertexVerse"/>
        <s v="AstraBot"/>
        <s v="QuickPay"/>
        <s v="BrightBox"/>
        <s v="FinGrid"/>
        <s v="MedNest"/>
        <s v="FinLearn"/>
        <s v="NovaWallet"/>
        <s v="VityCare"/>
        <s v="CloudCare"/>
        <s v="VoltFlow"/>
        <s v="LoopWave"/>
        <s v="CloudBee"/>
        <s v="EduLabs"/>
        <s v="SmartFarm"/>
        <s v="FinStack"/>
        <s v="GreenWave"/>
        <s v="CartWave"/>
        <s v="CredTech"/>
        <s v="GreenKart"/>
        <s v="ZeniBase"/>
        <s v="UrbanFleet"/>
        <s v="NextGrid"/>
        <s v="ZipCare"/>
        <s v="UrbanWorks"/>
        <s v="NovaLoop"/>
        <s v="SmartBase"/>
        <s v="ZipPay"/>
        <s v="ZipKart"/>
        <s v="VertexMind"/>
        <s v="EduPay"/>
        <s v="CartFleet"/>
        <s v="ZeniLearn"/>
        <s v="BoldWallet"/>
        <s v="FreshWave"/>
        <s v="TerraLoop"/>
        <s v="HyperLabs"/>
        <s v="CloudGenix"/>
        <s v="LoopBot"/>
        <s v="PeakBot"/>
        <s v="EchoBox"/>
        <s v="VoltNest"/>
        <s v="SnapFleet"/>
        <s v="QuickBot"/>
        <s v="RapidYard"/>
        <s v="TerraWave"/>
        <s v="EchoGrid"/>
        <s v="LoopBee"/>
        <s v="BrightFlow"/>
        <s v="PixelYard"/>
        <s v="FinWave"/>
        <s v="PixelFarm"/>
        <s v="PrimeLearn"/>
        <s v="OrbitGrid"/>
        <s v="OrbitBee"/>
        <s v="ZipLoop"/>
        <s v="GreenGrid"/>
        <s v="UrbanStack"/>
        <s v="MedLoop"/>
        <s v="VertexFarm"/>
        <s v="BrightLabs"/>
        <s v="SageKart"/>
        <s v="NextFleet"/>
        <s v="ZeniNest"/>
        <s v="VityYard"/>
        <s v="MedFarm"/>
        <s v="ZeniLabs"/>
        <s v="PrimeBase"/>
        <s v="MetaWave"/>
        <s v="LumenLoop"/>
        <s v="ZipGenix"/>
        <s v="LoopLabs"/>
        <s v="HyperCare"/>
        <s v="KiteBot"/>
        <s v="VityGrid"/>
        <s v="EduStack"/>
        <s v="BrightBee"/>
        <s v="KiteBox"/>
        <s v="MetaBox"/>
        <s v="SnapBase"/>
        <s v="QuickLearn"/>
        <s v="ZipWorks"/>
        <s v="TerraGenix"/>
        <s v="PixelKart"/>
        <s v="OrbitVerse"/>
        <s v="UrbanNest"/>
        <s v="MetaGrid"/>
        <s v="VertexBot"/>
        <s v="KiteBase"/>
        <s v="NextCare"/>
        <s v="VertexFleet"/>
        <s v="TerraStack"/>
        <s v="FinHub"/>
        <s v="AstraFleet"/>
        <s v="ByteNest"/>
        <s v="ZeniSphere"/>
        <s v="NimbusWave"/>
        <s v="PeakKart"/>
        <s v="UrbanGenix"/>
        <s v="VoltBee"/>
        <s v="LoopWallet"/>
        <s v="BoldLearn"/>
        <s v="LumenHub"/>
        <s v="NovaNest"/>
        <s v="QuickLoop"/>
        <s v="LoopFleet"/>
        <s v="CredPay"/>
        <s v="TerraSphere"/>
        <s v="RapidSphere"/>
        <s v="VityFarm"/>
        <s v="NimbusTech"/>
        <s v="BrightLoop"/>
        <s v="AstraNest"/>
        <s v="EduGenix"/>
        <s v="MetaVerse"/>
        <s v="LumenWave"/>
        <s v="SmartLearn"/>
        <s v="NimbusYard"/>
        <s v="LumenFleet"/>
        <s v="CartYard"/>
        <s v="ByteGenix"/>
        <s v="Orbitly"/>
        <s v="VityFleet"/>
        <s v="BoldPay"/>
        <s v="RapidWave"/>
        <s v="ZeniCare"/>
        <s v="Primely"/>
        <s v="NovaLearn"/>
        <s v="FreshNest"/>
        <s v="CredGrid"/>
        <s v="LumenPay"/>
        <s v="BrightBot"/>
        <s v="MedSphere"/>
        <s v="UrbanWallet"/>
        <s v="FinTech"/>
        <s v="ByteCare"/>
        <s v="SmartNest"/>
        <s v="MedMind"/>
        <s v="PixelLoop"/>
        <s v="VoltLearn"/>
        <s v="CartMind"/>
        <s v="PeakVerse"/>
        <s v="EchoLoop"/>
        <s v="HyperFleet"/>
        <s v="FluxNest"/>
        <s v="NovaMind"/>
        <s v="CloudLearn"/>
        <s v="LumenNest"/>
        <s v="ZeniBee"/>
        <s v="Finly"/>
        <s v="CloudWorks"/>
        <s v="MetaSphere"/>
        <s v="QuickCare"/>
        <s v="BrightHub"/>
        <s v="EduWallet"/>
        <s v="NextMind"/>
        <s v="PrimeFarm"/>
        <s v="CloudYard"/>
        <s v="QuickBase"/>
        <s v="VertexStack"/>
        <s v="NextSphere"/>
        <s v="LumenBox"/>
        <s v="NovaBox"/>
        <s v="CloudLabs"/>
        <s v="NimbusBox"/>
        <s v="TerraWallet"/>
        <s v="NimbusBee"/>
        <s v="CredLoop"/>
        <s v="GreenSphere"/>
        <s v="BrightFarm"/>
        <s v="FreshCare"/>
        <s v="NovaBee"/>
        <s v="SnapLabs"/>
        <s v="EchoCare"/>
        <s v="NextWallet"/>
        <s v="SmartFlow"/>
        <s v="ByteLoop"/>
        <s v="ByteSphere"/>
        <s v="LoopSphere"/>
        <s v="EduLearn"/>
        <s v="LoopYard"/>
        <s v="BoldGenix"/>
        <s v="OrbitTech"/>
        <s v="LumenFlow"/>
        <s v="Cartly"/>
        <s v="VertexPay"/>
        <s v="NovaCare"/>
        <s v="BoldMind"/>
        <s v="VoltBox"/>
        <s v="KiteWorks"/>
        <s v="ByteWave"/>
        <s v="BrightWave"/>
        <s v="UrbanGrid"/>
        <s v="Metaly"/>
        <s v="NimbusGenix"/>
        <s v="MetaStack"/>
        <s v="NextPay"/>
        <s v="FreshMind"/>
        <s v="VoltHub"/>
        <s v="PeakGrid"/>
        <s v="MedWorks"/>
        <s v="SageWave"/>
        <s v="TerraKart"/>
        <s v="UrbanFarm"/>
        <s v="KiteFlow"/>
        <s v="MedGrid"/>
        <s v="FreshHub"/>
        <s v="MedVerse"/>
        <s v="GreenFarm"/>
        <s v="VoltCare"/>
        <s v="BrightKart"/>
        <s v="TerraHub"/>
        <s v="LoopBox"/>
        <s v="FreshLoop"/>
        <s v="FreshFlow"/>
        <s v="CartGenix"/>
        <s v="EchoBase"/>
        <s v="BrightWallet"/>
        <s v="BoldBee"/>
        <s v="TerraBase"/>
        <s v="PrimeNest"/>
        <s v="ZipLearn"/>
        <s v="FreshSphere"/>
        <s v="LumenStack"/>
        <s v="SageFleet"/>
        <s v="FinWorks"/>
        <s v="UrbanLearn"/>
        <s v="SmartBox"/>
        <s v="Nextly"/>
        <s v="KiteGenix"/>
        <s v="VertexCare"/>
        <s v="LumenBot"/>
        <s v="VityBase"/>
        <s v="SnapGenix"/>
        <s v="PrimeBee"/>
        <s v="TerraBox"/>
        <s v="VoltSphere"/>
        <s v="CartHub"/>
        <s v="EchoYard"/>
        <s v="CloudWallet"/>
        <s v="VityPay"/>
        <s v="CartBee"/>
        <s v="SnapWorks"/>
        <s v="EchoTech"/>
        <s v="VityNest"/>
        <s v="SageBase"/>
        <s v="EduKart"/>
        <s v="Lumenly"/>
        <s v="UrbanBase"/>
        <s v="HyperLoop"/>
        <s v="HyperSphere"/>
        <s v="LumenWorks"/>
        <s v="MedCare"/>
        <s v="VityBee"/>
        <s v="MedBot"/>
        <s v="BrightNest"/>
        <s v="FreshLearn"/>
        <s v="EduBee"/>
        <s v="EduGrid"/>
        <s v="FinFlow"/>
        <s v="CartBase"/>
        <s v="SnapBox"/>
        <s v="FreshKart"/>
        <s v="CredBee"/>
        <s v="ZeniPay"/>
        <s v="ZeniGenix"/>
        <s v="ZeniWave"/>
        <s v="NimbusMind"/>
        <s v="EduBox"/>
        <s v="VoltKart"/>
        <s v="CartTech"/>
        <s v="HyperTech"/>
        <s v="VertexBee"/>
        <s v="Medly"/>
        <s v="ZipBot"/>
        <s v="Bytely"/>
        <s v="VertexGrid"/>
        <s v="VertexNest"/>
        <s v="GreenNest"/>
        <s v="RapidPay"/>
        <s v="NovaVerse"/>
        <s v="CartLoop"/>
        <s v="PixelBee"/>
        <s v="ByteVerse"/>
        <s v="PrimeYard"/>
        <s v="ZeniFleet"/>
        <s v="HyperStack"/>
        <s v="VoltLabs"/>
        <s v="MetaLearn"/>
        <s v="EduMind"/>
        <s v="GreenWorks"/>
        <s v="UrbanPay"/>
        <s v="EchoHub"/>
        <s v="Boldly"/>
        <s v="CloudBot"/>
        <s v="FluxSphere"/>
        <s v="CredWorks"/>
        <s v="MetaYard"/>
        <s v="BoldFleet"/>
        <s v="CloudPay"/>
        <s v="PrimeTech"/>
        <s v="CartGrid"/>
        <s v="ZeniLoop"/>
        <s v="FluxLearn"/>
        <s v="PixelTech"/>
        <s v="BoldHub"/>
        <s v="ByteYard"/>
        <s v="SmartYard"/>
        <s v="AstraBase"/>
        <s v="PeakWallet"/>
        <s v="FreshGrid"/>
        <s v="SageNest"/>
        <s v="EchoLabs"/>
        <s v="EduFarm"/>
        <s v="Brightly"/>
        <s v="VitySphere"/>
        <s v="PrimeFlow"/>
        <s v="VityWorks"/>
        <s v="ZipVerse"/>
        <s v="VityLabs"/>
        <s v="BoldLoop"/>
        <s v="NextBot"/>
        <s v="NovaBase"/>
        <s v="SnapGrid"/>
        <s v="MetaFarm"/>
        <s v="BoldBase"/>
        <s v="SmartWorks"/>
        <s v="FluxBot"/>
        <s v="Smartly"/>
        <s v="AstraWave"/>
        <s v="CartCare"/>
        <s v="HyperBox"/>
        <s v="SageBee"/>
        <s v="FinBase"/>
        <s v="BrightBase"/>
        <s v="PeakLabs"/>
        <s v="CartFarm"/>
        <s v="OrbitSphere"/>
        <s v="Snaply"/>
        <s v="SageFlow"/>
        <s v="SageYard"/>
        <s v="AstraFarm"/>
        <s v="HyperMind"/>
        <s v="ZeniBot"/>
        <s v="ByteGrid"/>
        <s v="OrbitPay"/>
        <s v="SnapFlow"/>
        <s v="PeakLearn"/>
        <s v="CartKart"/>
        <s v="PixelVerse"/>
        <s v="NextBase"/>
        <s v="CloudKart"/>
        <s v="NovaGenix"/>
        <s v="GreenLoop"/>
        <s v="MetaHub"/>
        <s v="MetaMind"/>
        <s v="SageLearn"/>
        <s v="FinMind"/>
        <s v="KiteHub"/>
        <s v="MetaBase"/>
        <s v="PrimeBox"/>
        <s v="NovaGrid"/>
        <s v="BrightSphere"/>
        <s v="BoldWave"/>
        <s v="MedLabs"/>
        <s v="KiteFarm"/>
        <s v="MetaWallet"/>
        <s v="FluxTech"/>
        <s v="ByteTech"/>
        <s v="VoltLoop"/>
        <s v="AstraFlow"/>
        <s v="PixelCare"/>
        <s v="UrbanBot"/>
        <s v="FinLoop"/>
        <s v="VityWallet"/>
        <s v="HyperGrid"/>
        <s v="KiteStack"/>
        <s v="HyperNest"/>
        <s v="SnapVerse"/>
        <s v="CredFlow"/>
        <s v="QuickWave"/>
        <s v="MetaCare"/>
        <s v="UrbanYard"/>
        <s v="AstraLabs"/>
        <s v="CredBase"/>
        <s v="LumenCare"/>
        <s v="MetaBot"/>
        <s v="LoopGenix"/>
        <s v="SnapNest"/>
        <s v="NimbusStack"/>
        <s v="EchoKart"/>
        <s v="SnapBot"/>
        <s v="BoldLabs"/>
        <s v="FreshStack"/>
      </sharedItems>
    </cacheField>
    <cacheField name="Sector" numFmtId="0">
      <sharedItems count="12">
        <s v="AI/ML"/>
        <s v="Healthtech"/>
        <s v="Foodtech"/>
        <s v="SaaS"/>
        <s v="Fintech"/>
        <s v="Agritech"/>
        <s v="E-commerce"/>
        <s v="Edtech"/>
        <s v="Cleantech"/>
        <s v="Logistics"/>
        <s v="Mobility"/>
        <s v="Gaming"/>
      </sharedItems>
    </cacheField>
    <cacheField name="City" numFmtId="0">
      <sharedItems count="9">
        <s v="Mumbai"/>
        <s v="Bengaluru"/>
        <s v="Pune"/>
        <s v="Jaipur"/>
        <s v="Delhi NCR"/>
        <s v="Kolkata"/>
        <s v="Chennai"/>
        <s v="Hyderabad"/>
        <s v="Ahmedabad"/>
      </sharedItems>
    </cacheField>
    <cacheField name="Funding Stage" numFmtId="0">
      <sharedItems count="5">
        <s v="Series A"/>
        <s v="Series C"/>
        <s v="Series B"/>
        <s v="Seed"/>
        <s v="Series D+"/>
      </sharedItems>
    </cacheField>
    <cacheField name="Funding Amount ($M)" numFmtId="164">
      <sharedItems containsSemiMixedTypes="0" containsString="0" containsNumber="1" minValue="0.4" maxValue="494.1"/>
    </cacheField>
    <cacheField name="Funding Date" numFmtId="165">
      <sharedItems containsSemiMixedTypes="0" containsNonDate="0" containsDate="1" containsString="0" minDate="2019-01-08T00:00:00" maxDate="2025-01-01T00:00:00"/>
    </cacheField>
    <cacheField name="Funding Year" numFmtId="1">
      <sharedItems containsSemiMixedTypes="0" containsString="0" containsNumber="1" containsInteger="1" minValue="2019" maxValue="2024" count="6">
        <n v="2019"/>
        <n v="2020"/>
        <n v="2021"/>
        <n v="2022"/>
        <n v="2023"/>
        <n v="2024"/>
      </sharedItems>
    </cacheField>
    <cacheField name="Lead Investor" numFmtId="0">
      <sharedItems/>
    </cacheField>
    <cacheField name="Founded Year" numFmtId="1">
      <sharedItems containsSemiMixedTypes="0" containsString="0" containsNumber="1" containsInteger="1" minValue="2012" maxValue="2024"/>
    </cacheField>
    <cacheField name="Valuation ($M)" numFmtId="164">
      <sharedItems containsSemiMixedTypes="0" containsString="0" containsNumber="1" minValue="2.5" maxValue="5207.2"/>
    </cacheField>
    <cacheField name="Employees" numFmtId="3">
      <sharedItems containsSemiMixedTypes="0" containsString="0" containsNumber="1" containsInteger="1" minValue="8" maxValue="12757"/>
    </cacheField>
  </cacheFields>
  <extLst>
    <ext xmlns:x14="http://schemas.microsoft.com/office/spreadsheetml/2009/9/main" uri="{725AE2AE-9491-48be-B2B4-4EB974FC3084}">
      <x14:pivotCacheDefinition pivotCacheId="19980054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x v="0"/>
    <x v="0"/>
    <x v="0"/>
    <n v="5.3"/>
    <d v="2019-01-08T00:00:00"/>
    <x v="0"/>
    <s v="Chiratae Ventures"/>
    <n v="2017"/>
    <n v="36.5"/>
    <n v="131"/>
  </r>
  <r>
    <x v="1"/>
    <x v="1"/>
    <x v="1"/>
    <x v="1"/>
    <n v="115.4"/>
    <d v="2019-01-12T00:00:00"/>
    <x v="0"/>
    <s v="Accel"/>
    <n v="2015"/>
    <n v="534.70000000000005"/>
    <n v="1432"/>
  </r>
  <r>
    <x v="2"/>
    <x v="2"/>
    <x v="1"/>
    <x v="0"/>
    <n v="12.7"/>
    <d v="2019-01-17T00:00:00"/>
    <x v="0"/>
    <s v="Tiger Global"/>
    <n v="2016"/>
    <n v="67.2"/>
    <n v="117"/>
  </r>
  <r>
    <x v="3"/>
    <x v="1"/>
    <x v="2"/>
    <x v="2"/>
    <n v="38"/>
    <d v="2019-01-19T00:00:00"/>
    <x v="0"/>
    <s v="Sequoia Capital"/>
    <n v="2019"/>
    <n v="284"/>
    <n v="590"/>
  </r>
  <r>
    <x v="4"/>
    <x v="3"/>
    <x v="3"/>
    <x v="3"/>
    <n v="3.8"/>
    <d v="2019-01-20T00:00:00"/>
    <x v="0"/>
    <s v="Accel"/>
    <n v="2017"/>
    <n v="26.6"/>
    <n v="69"/>
  </r>
  <r>
    <x v="5"/>
    <x v="4"/>
    <x v="4"/>
    <x v="4"/>
    <n v="371.2"/>
    <d v="2019-01-27T00:00:00"/>
    <x v="0"/>
    <s v="Chiratae Ventures"/>
    <n v="2018"/>
    <n v="3793.6"/>
    <n v="12757"/>
  </r>
  <r>
    <x v="6"/>
    <x v="1"/>
    <x v="4"/>
    <x v="1"/>
    <n v="81.3"/>
    <d v="2019-01-31T00:00:00"/>
    <x v="0"/>
    <s v="SoftBank"/>
    <n v="2015"/>
    <n v="431.2"/>
    <n v="1029"/>
  </r>
  <r>
    <x v="7"/>
    <x v="5"/>
    <x v="5"/>
    <x v="2"/>
    <n v="23.4"/>
    <d v="2019-02-02T00:00:00"/>
    <x v="0"/>
    <s v="SoftBank"/>
    <n v="2018"/>
    <n v="125"/>
    <n v="344"/>
  </r>
  <r>
    <x v="8"/>
    <x v="6"/>
    <x v="2"/>
    <x v="2"/>
    <n v="18.399999999999999"/>
    <d v="2019-02-03T00:00:00"/>
    <x v="0"/>
    <s v="Y Combinator"/>
    <n v="2013"/>
    <n v="91.7"/>
    <n v="162"/>
  </r>
  <r>
    <x v="9"/>
    <x v="4"/>
    <x v="0"/>
    <x v="3"/>
    <n v="2.9"/>
    <d v="2019-02-08T00:00:00"/>
    <x v="0"/>
    <s v="Lightspeed"/>
    <n v="2019"/>
    <n v="23"/>
    <n v="59"/>
  </r>
  <r>
    <x v="10"/>
    <x v="7"/>
    <x v="6"/>
    <x v="1"/>
    <n v="95.3"/>
    <d v="2019-02-10T00:00:00"/>
    <x v="0"/>
    <s v="Sequoia Capital"/>
    <n v="2015"/>
    <n v="437.6"/>
    <n v="754"/>
  </r>
  <r>
    <x v="11"/>
    <x v="6"/>
    <x v="4"/>
    <x v="4"/>
    <n v="171.3"/>
    <d v="2019-02-13T00:00:00"/>
    <x v="0"/>
    <s v="Nexus Venture"/>
    <n v="2018"/>
    <n v="1737.1"/>
    <n v="6549"/>
  </r>
  <r>
    <x v="12"/>
    <x v="4"/>
    <x v="6"/>
    <x v="3"/>
    <n v="4"/>
    <d v="2019-02-17T00:00:00"/>
    <x v="0"/>
    <s v="Tiger Global"/>
    <n v="2017"/>
    <n v="38.299999999999997"/>
    <n v="97"/>
  </r>
  <r>
    <x v="13"/>
    <x v="1"/>
    <x v="1"/>
    <x v="2"/>
    <n v="29.4"/>
    <d v="2019-02-17T00:00:00"/>
    <x v="0"/>
    <s v="Blume Ventures"/>
    <n v="2017"/>
    <n v="117.3"/>
    <n v="230"/>
  </r>
  <r>
    <x v="14"/>
    <x v="6"/>
    <x v="1"/>
    <x v="3"/>
    <n v="4.4000000000000004"/>
    <d v="2019-02-18T00:00:00"/>
    <x v="0"/>
    <s v="Elevation Capital"/>
    <n v="2019"/>
    <n v="20.7"/>
    <n v="69"/>
  </r>
  <r>
    <x v="15"/>
    <x v="7"/>
    <x v="4"/>
    <x v="1"/>
    <n v="65.099999999999994"/>
    <d v="2019-02-24T00:00:00"/>
    <x v="0"/>
    <s v="Chiratae Ventures"/>
    <n v="2017"/>
    <n v="579.9"/>
    <n v="1070"/>
  </r>
  <r>
    <x v="16"/>
    <x v="3"/>
    <x v="0"/>
    <x v="0"/>
    <n v="13.6"/>
    <d v="2019-02-25T00:00:00"/>
    <x v="0"/>
    <s v="Matrix Partners"/>
    <n v="2012"/>
    <n v="88.2"/>
    <n v="234"/>
  </r>
  <r>
    <x v="17"/>
    <x v="3"/>
    <x v="4"/>
    <x v="0"/>
    <n v="11.1"/>
    <d v="2019-03-03T00:00:00"/>
    <x v="0"/>
    <s v="Info Edge"/>
    <n v="2012"/>
    <n v="50.6"/>
    <n v="93"/>
  </r>
  <r>
    <x v="18"/>
    <x v="6"/>
    <x v="1"/>
    <x v="2"/>
    <n v="36.9"/>
    <d v="2019-03-05T00:00:00"/>
    <x v="0"/>
    <s v="Tiger Global"/>
    <n v="2018"/>
    <n v="280.3"/>
    <n v="754"/>
  </r>
  <r>
    <x v="19"/>
    <x v="0"/>
    <x v="7"/>
    <x v="3"/>
    <n v="1.1000000000000001"/>
    <d v="2019-03-05T00:00:00"/>
    <x v="0"/>
    <s v="Lightspeed"/>
    <n v="2013"/>
    <n v="7.6"/>
    <n v="27"/>
  </r>
  <r>
    <x v="20"/>
    <x v="7"/>
    <x v="7"/>
    <x v="1"/>
    <n v="57.1"/>
    <d v="2019-03-06T00:00:00"/>
    <x v="0"/>
    <s v="Peak XV"/>
    <n v="2013"/>
    <n v="348.9"/>
    <n v="887"/>
  </r>
  <r>
    <x v="21"/>
    <x v="8"/>
    <x v="0"/>
    <x v="2"/>
    <n v="22.7"/>
    <d v="2019-03-10T00:00:00"/>
    <x v="0"/>
    <s v="Matrix Partners"/>
    <n v="2016"/>
    <n v="135.5"/>
    <n v="319"/>
  </r>
  <r>
    <x v="22"/>
    <x v="2"/>
    <x v="1"/>
    <x v="2"/>
    <n v="25.1"/>
    <d v="2019-03-10T00:00:00"/>
    <x v="0"/>
    <s v="Peak XV"/>
    <n v="2015"/>
    <n v="138"/>
    <n v="513"/>
  </r>
  <r>
    <x v="23"/>
    <x v="0"/>
    <x v="1"/>
    <x v="1"/>
    <n v="98"/>
    <d v="2019-03-21T00:00:00"/>
    <x v="0"/>
    <s v="Sequoia Capital"/>
    <n v="2018"/>
    <n v="604.29999999999995"/>
    <n v="2112"/>
  </r>
  <r>
    <x v="24"/>
    <x v="6"/>
    <x v="8"/>
    <x v="3"/>
    <n v="2.2999999999999998"/>
    <d v="2019-03-26T00:00:00"/>
    <x v="0"/>
    <s v="Accel"/>
    <n v="2012"/>
    <n v="18.100000000000001"/>
    <n v="69"/>
  </r>
  <r>
    <x v="25"/>
    <x v="7"/>
    <x v="0"/>
    <x v="1"/>
    <n v="75.3"/>
    <d v="2019-03-27T00:00:00"/>
    <x v="0"/>
    <s v="Peak XV"/>
    <n v="2019"/>
    <n v="361.2"/>
    <n v="1264"/>
  </r>
  <r>
    <x v="26"/>
    <x v="3"/>
    <x v="1"/>
    <x v="0"/>
    <n v="9.5"/>
    <d v="2019-03-31T00:00:00"/>
    <x v="0"/>
    <s v="Nexus Venture"/>
    <n v="2015"/>
    <n v="54.6"/>
    <n v="173"/>
  </r>
  <r>
    <x v="27"/>
    <x v="0"/>
    <x v="7"/>
    <x v="0"/>
    <n v="12.6"/>
    <d v="2019-04-01T00:00:00"/>
    <x v="0"/>
    <s v="Blume Ventures"/>
    <n v="2014"/>
    <n v="58.7"/>
    <n v="196"/>
  </r>
  <r>
    <x v="28"/>
    <x v="9"/>
    <x v="4"/>
    <x v="0"/>
    <n v="9.6"/>
    <d v="2019-04-02T00:00:00"/>
    <x v="0"/>
    <s v="Sequoia Capital"/>
    <n v="2015"/>
    <n v="37.4"/>
    <n v="71"/>
  </r>
  <r>
    <x v="29"/>
    <x v="1"/>
    <x v="0"/>
    <x v="0"/>
    <n v="9.5"/>
    <d v="2019-04-06T00:00:00"/>
    <x v="0"/>
    <s v="Y Combinator"/>
    <n v="2012"/>
    <n v="59.7"/>
    <n v="162"/>
  </r>
  <r>
    <x v="30"/>
    <x v="4"/>
    <x v="0"/>
    <x v="0"/>
    <n v="15.7"/>
    <d v="2019-04-12T00:00:00"/>
    <x v="0"/>
    <s v="Nexus Venture"/>
    <n v="2014"/>
    <n v="55.2"/>
    <n v="150"/>
  </r>
  <r>
    <x v="31"/>
    <x v="4"/>
    <x v="1"/>
    <x v="0"/>
    <n v="13.6"/>
    <d v="2019-04-23T00:00:00"/>
    <x v="0"/>
    <s v="SoftBank"/>
    <n v="2015"/>
    <n v="67.3"/>
    <n v="246"/>
  </r>
  <r>
    <x v="32"/>
    <x v="4"/>
    <x v="1"/>
    <x v="2"/>
    <n v="19.899999999999999"/>
    <d v="2019-04-28T00:00:00"/>
    <x v="0"/>
    <s v="Accel"/>
    <n v="2012"/>
    <n v="73.400000000000006"/>
    <n v="237"/>
  </r>
  <r>
    <x v="33"/>
    <x v="4"/>
    <x v="1"/>
    <x v="0"/>
    <n v="8.1"/>
    <d v="2019-05-01T00:00:00"/>
    <x v="0"/>
    <s v="Lightspeed"/>
    <n v="2019"/>
    <n v="44.3"/>
    <n v="79"/>
  </r>
  <r>
    <x v="34"/>
    <x v="7"/>
    <x v="4"/>
    <x v="0"/>
    <n v="8.6999999999999993"/>
    <d v="2019-05-05T00:00:00"/>
    <x v="0"/>
    <s v="Matrix Partners"/>
    <n v="2018"/>
    <n v="40.200000000000003"/>
    <n v="123"/>
  </r>
  <r>
    <x v="35"/>
    <x v="3"/>
    <x v="1"/>
    <x v="1"/>
    <n v="78.900000000000006"/>
    <d v="2019-05-05T00:00:00"/>
    <x v="0"/>
    <s v="Accel"/>
    <n v="2015"/>
    <n v="662.9"/>
    <n v="1041"/>
  </r>
  <r>
    <x v="36"/>
    <x v="5"/>
    <x v="7"/>
    <x v="1"/>
    <n v="96.4"/>
    <d v="2019-05-06T00:00:00"/>
    <x v="0"/>
    <s v="Nexus Venture"/>
    <n v="2014"/>
    <n v="847.3"/>
    <n v="2183"/>
  </r>
  <r>
    <x v="37"/>
    <x v="3"/>
    <x v="0"/>
    <x v="1"/>
    <n v="65.3"/>
    <d v="2019-05-11T00:00:00"/>
    <x v="0"/>
    <s v="Elevation Capital"/>
    <n v="2018"/>
    <n v="336.9"/>
    <n v="853"/>
  </r>
  <r>
    <x v="38"/>
    <x v="6"/>
    <x v="0"/>
    <x v="4"/>
    <n v="267.60000000000002"/>
    <d v="2019-05-23T00:00:00"/>
    <x v="0"/>
    <s v="Accel"/>
    <n v="2019"/>
    <n v="2307.4"/>
    <n v="5955"/>
  </r>
  <r>
    <x v="39"/>
    <x v="4"/>
    <x v="3"/>
    <x v="0"/>
    <n v="7.9"/>
    <d v="2019-05-26T00:00:00"/>
    <x v="0"/>
    <s v="Lightspeed"/>
    <n v="2013"/>
    <n v="34.1"/>
    <n v="120"/>
  </r>
  <r>
    <x v="40"/>
    <x v="8"/>
    <x v="4"/>
    <x v="2"/>
    <n v="39.799999999999997"/>
    <d v="2019-05-28T00:00:00"/>
    <x v="0"/>
    <s v="Matrix Partners"/>
    <n v="2014"/>
    <n v="235"/>
    <n v="694"/>
  </r>
  <r>
    <x v="41"/>
    <x v="4"/>
    <x v="4"/>
    <x v="2"/>
    <n v="49.6"/>
    <d v="2019-05-31T00:00:00"/>
    <x v="0"/>
    <s v="Chiratae Ventures"/>
    <n v="2013"/>
    <n v="196.1"/>
    <n v="381"/>
  </r>
  <r>
    <x v="42"/>
    <x v="5"/>
    <x v="4"/>
    <x v="3"/>
    <n v="4.0999999999999996"/>
    <d v="2019-06-11T00:00:00"/>
    <x v="0"/>
    <s v="Info Edge"/>
    <n v="2012"/>
    <n v="38.299999999999997"/>
    <n v="88"/>
  </r>
  <r>
    <x v="43"/>
    <x v="3"/>
    <x v="2"/>
    <x v="2"/>
    <n v="24.5"/>
    <d v="2019-06-12T00:00:00"/>
    <x v="0"/>
    <s v="Elevation Capital"/>
    <n v="2013"/>
    <n v="131.30000000000001"/>
    <n v="425"/>
  </r>
  <r>
    <x v="44"/>
    <x v="3"/>
    <x v="8"/>
    <x v="2"/>
    <n v="19.5"/>
    <d v="2019-06-13T00:00:00"/>
    <x v="0"/>
    <s v="Tiger Global"/>
    <n v="2019"/>
    <n v="143.6"/>
    <n v="353"/>
  </r>
  <r>
    <x v="45"/>
    <x v="9"/>
    <x v="1"/>
    <x v="0"/>
    <n v="8.3000000000000007"/>
    <d v="2019-06-21T00:00:00"/>
    <x v="0"/>
    <s v="Accel"/>
    <n v="2017"/>
    <n v="53.6"/>
    <n v="167"/>
  </r>
  <r>
    <x v="46"/>
    <x v="4"/>
    <x v="0"/>
    <x v="2"/>
    <n v="50"/>
    <d v="2019-06-28T00:00:00"/>
    <x v="0"/>
    <s v="Elevation Capital"/>
    <n v="2017"/>
    <n v="197.4"/>
    <n v="566"/>
  </r>
  <r>
    <x v="47"/>
    <x v="0"/>
    <x v="0"/>
    <x v="3"/>
    <n v="2.7"/>
    <d v="2019-06-29T00:00:00"/>
    <x v="0"/>
    <s v="Y Combinator"/>
    <n v="2018"/>
    <n v="22"/>
    <n v="77"/>
  </r>
  <r>
    <x v="48"/>
    <x v="7"/>
    <x v="4"/>
    <x v="3"/>
    <n v="1.5"/>
    <d v="2019-06-29T00:00:00"/>
    <x v="0"/>
    <s v="Tiger Global"/>
    <n v="2019"/>
    <n v="6.7"/>
    <n v="14"/>
  </r>
  <r>
    <x v="49"/>
    <x v="2"/>
    <x v="1"/>
    <x v="2"/>
    <n v="31.4"/>
    <d v="2019-07-04T00:00:00"/>
    <x v="0"/>
    <s v="Info Edge"/>
    <n v="2016"/>
    <n v="243.7"/>
    <n v="374"/>
  </r>
  <r>
    <x v="50"/>
    <x v="3"/>
    <x v="1"/>
    <x v="3"/>
    <n v="4.5"/>
    <d v="2019-07-11T00:00:00"/>
    <x v="0"/>
    <s v="SoftBank"/>
    <n v="2012"/>
    <n v="19.7"/>
    <n v="61"/>
  </r>
  <r>
    <x v="51"/>
    <x v="10"/>
    <x v="8"/>
    <x v="3"/>
    <n v="2.1"/>
    <d v="2019-07-12T00:00:00"/>
    <x v="0"/>
    <s v="Accel"/>
    <n v="2016"/>
    <n v="17.7"/>
    <n v="57"/>
  </r>
  <r>
    <x v="52"/>
    <x v="6"/>
    <x v="6"/>
    <x v="0"/>
    <n v="15.1"/>
    <d v="2019-07-17T00:00:00"/>
    <x v="0"/>
    <s v="Nexus Venture"/>
    <n v="2017"/>
    <n v="113.6"/>
    <n v="227"/>
  </r>
  <r>
    <x v="53"/>
    <x v="5"/>
    <x v="4"/>
    <x v="3"/>
    <n v="3.1"/>
    <d v="2019-07-19T00:00:00"/>
    <x v="0"/>
    <s v="Chiratae Ventures"/>
    <n v="2013"/>
    <n v="14.2"/>
    <n v="50"/>
  </r>
  <r>
    <x v="54"/>
    <x v="11"/>
    <x v="1"/>
    <x v="2"/>
    <n v="36.6"/>
    <d v="2019-07-25T00:00:00"/>
    <x v="0"/>
    <s v="Matrix Partners"/>
    <n v="2018"/>
    <n v="237.4"/>
    <n v="590"/>
  </r>
  <r>
    <x v="55"/>
    <x v="4"/>
    <x v="7"/>
    <x v="4"/>
    <n v="391.4"/>
    <d v="2019-07-26T00:00:00"/>
    <x v="0"/>
    <s v="Y Combinator"/>
    <n v="2014"/>
    <n v="2415.4"/>
    <n v="5507"/>
  </r>
  <r>
    <x v="56"/>
    <x v="6"/>
    <x v="4"/>
    <x v="4"/>
    <n v="298.8"/>
    <d v="2019-08-03T00:00:00"/>
    <x v="0"/>
    <s v="3one4 Capital"/>
    <n v="2017"/>
    <n v="2561"/>
    <n v="3921"/>
  </r>
  <r>
    <x v="57"/>
    <x v="3"/>
    <x v="8"/>
    <x v="2"/>
    <n v="25.9"/>
    <d v="2019-08-04T00:00:00"/>
    <x v="0"/>
    <s v="Matrix Partners"/>
    <n v="2015"/>
    <n v="98.7"/>
    <n v="382"/>
  </r>
  <r>
    <x v="58"/>
    <x v="9"/>
    <x v="7"/>
    <x v="3"/>
    <n v="3.4"/>
    <d v="2019-08-05T00:00:00"/>
    <x v="0"/>
    <s v="Matrix Partners"/>
    <n v="2019"/>
    <n v="29.6"/>
    <n v="103"/>
  </r>
  <r>
    <x v="59"/>
    <x v="5"/>
    <x v="4"/>
    <x v="2"/>
    <n v="41.1"/>
    <d v="2019-08-07T00:00:00"/>
    <x v="0"/>
    <s v="Lightspeed"/>
    <n v="2012"/>
    <n v="182.2"/>
    <n v="283"/>
  </r>
  <r>
    <x v="60"/>
    <x v="3"/>
    <x v="8"/>
    <x v="2"/>
    <n v="39.6"/>
    <d v="2019-08-10T00:00:00"/>
    <x v="0"/>
    <s v="Matrix Partners"/>
    <n v="2019"/>
    <n v="298.89999999999998"/>
    <n v="1031"/>
  </r>
  <r>
    <x v="61"/>
    <x v="1"/>
    <x v="0"/>
    <x v="0"/>
    <n v="8.6"/>
    <d v="2019-08-12T00:00:00"/>
    <x v="0"/>
    <s v="Chiratae Ventures"/>
    <n v="2019"/>
    <n v="52.1"/>
    <n v="83"/>
  </r>
  <r>
    <x v="62"/>
    <x v="5"/>
    <x v="1"/>
    <x v="0"/>
    <n v="11.2"/>
    <d v="2019-08-18T00:00:00"/>
    <x v="0"/>
    <s v="Accel"/>
    <n v="2018"/>
    <n v="70.099999999999994"/>
    <n v="232"/>
  </r>
  <r>
    <x v="63"/>
    <x v="11"/>
    <x v="0"/>
    <x v="2"/>
    <n v="19.3"/>
    <d v="2019-08-21T00:00:00"/>
    <x v="0"/>
    <s v="3one4 Capital"/>
    <n v="2014"/>
    <n v="129.5"/>
    <n v="373"/>
  </r>
  <r>
    <x v="64"/>
    <x v="4"/>
    <x v="4"/>
    <x v="0"/>
    <n v="9.9"/>
    <d v="2019-08-22T00:00:00"/>
    <x v="0"/>
    <s v="Chiratae Ventures"/>
    <n v="2013"/>
    <n v="59.5"/>
    <n v="155"/>
  </r>
  <r>
    <x v="65"/>
    <x v="8"/>
    <x v="5"/>
    <x v="3"/>
    <n v="1.5"/>
    <d v="2019-08-24T00:00:00"/>
    <x v="0"/>
    <s v="Peak XV"/>
    <n v="2016"/>
    <n v="7.5"/>
    <n v="23"/>
  </r>
  <r>
    <x v="66"/>
    <x v="7"/>
    <x v="7"/>
    <x v="3"/>
    <n v="1.6"/>
    <d v="2019-08-24T00:00:00"/>
    <x v="0"/>
    <s v="Peak XV"/>
    <n v="2018"/>
    <n v="9"/>
    <n v="30"/>
  </r>
  <r>
    <x v="67"/>
    <x v="6"/>
    <x v="4"/>
    <x v="0"/>
    <n v="13.1"/>
    <d v="2019-08-25T00:00:00"/>
    <x v="0"/>
    <s v="Matrix Partners"/>
    <n v="2012"/>
    <n v="52.2"/>
    <n v="183"/>
  </r>
  <r>
    <x v="68"/>
    <x v="6"/>
    <x v="1"/>
    <x v="1"/>
    <n v="79.3"/>
    <d v="2019-08-27T00:00:00"/>
    <x v="0"/>
    <s v="Matrix Partners"/>
    <n v="2012"/>
    <n v="494.3"/>
    <n v="1838"/>
  </r>
  <r>
    <x v="69"/>
    <x v="7"/>
    <x v="1"/>
    <x v="3"/>
    <n v="3.5"/>
    <d v="2019-08-28T00:00:00"/>
    <x v="0"/>
    <s v="Matrix Partners"/>
    <n v="2016"/>
    <n v="24.3"/>
    <n v="56"/>
  </r>
  <r>
    <x v="70"/>
    <x v="9"/>
    <x v="1"/>
    <x v="3"/>
    <n v="1"/>
    <d v="2019-08-30T00:00:00"/>
    <x v="0"/>
    <s v="Lightspeed"/>
    <n v="2019"/>
    <n v="7.1"/>
    <n v="22"/>
  </r>
  <r>
    <x v="71"/>
    <x v="1"/>
    <x v="4"/>
    <x v="4"/>
    <n v="459.9"/>
    <d v="2019-09-02T00:00:00"/>
    <x v="0"/>
    <s v="Kalaari Capital"/>
    <n v="2017"/>
    <n v="3318.5"/>
    <n v="9747"/>
  </r>
  <r>
    <x v="72"/>
    <x v="0"/>
    <x v="1"/>
    <x v="2"/>
    <n v="27.1"/>
    <d v="2019-09-03T00:00:00"/>
    <x v="0"/>
    <s v="Kalaari Capital"/>
    <n v="2015"/>
    <n v="163.69999999999999"/>
    <n v="413"/>
  </r>
  <r>
    <x v="73"/>
    <x v="6"/>
    <x v="1"/>
    <x v="2"/>
    <n v="34.1"/>
    <d v="2019-09-03T00:00:00"/>
    <x v="0"/>
    <s v="Tiger Global"/>
    <n v="2014"/>
    <n v="139.1"/>
    <n v="311"/>
  </r>
  <r>
    <x v="74"/>
    <x v="10"/>
    <x v="1"/>
    <x v="4"/>
    <n v="272.7"/>
    <d v="2019-09-06T00:00:00"/>
    <x v="0"/>
    <s v="Nexus Venture"/>
    <n v="2012"/>
    <n v="2853.8"/>
    <n v="9179"/>
  </r>
  <r>
    <x v="75"/>
    <x v="3"/>
    <x v="7"/>
    <x v="0"/>
    <n v="10"/>
    <d v="2019-09-07T00:00:00"/>
    <x v="0"/>
    <s v="3one4 Capital"/>
    <n v="2017"/>
    <n v="75.400000000000006"/>
    <n v="237"/>
  </r>
  <r>
    <x v="76"/>
    <x v="6"/>
    <x v="1"/>
    <x v="1"/>
    <n v="130.5"/>
    <d v="2019-09-08T00:00:00"/>
    <x v="0"/>
    <s v="Peak XV"/>
    <n v="2016"/>
    <n v="1163.2"/>
    <n v="4519"/>
  </r>
  <r>
    <x v="77"/>
    <x v="3"/>
    <x v="3"/>
    <x v="3"/>
    <n v="2.5"/>
    <d v="2019-09-10T00:00:00"/>
    <x v="0"/>
    <s v="Y Combinator"/>
    <n v="2017"/>
    <n v="18.100000000000001"/>
    <n v="60"/>
  </r>
  <r>
    <x v="78"/>
    <x v="7"/>
    <x v="4"/>
    <x v="2"/>
    <n v="34"/>
    <d v="2019-09-15T00:00:00"/>
    <x v="0"/>
    <s v="Y Combinator"/>
    <n v="2012"/>
    <n v="213.7"/>
    <n v="585"/>
  </r>
  <r>
    <x v="79"/>
    <x v="7"/>
    <x v="1"/>
    <x v="3"/>
    <n v="1.8"/>
    <d v="2019-09-17T00:00:00"/>
    <x v="0"/>
    <s v="Chiratae Ventures"/>
    <n v="2019"/>
    <n v="10.7"/>
    <n v="42"/>
  </r>
  <r>
    <x v="80"/>
    <x v="4"/>
    <x v="1"/>
    <x v="0"/>
    <n v="13.5"/>
    <d v="2019-09-20T00:00:00"/>
    <x v="0"/>
    <s v="Blume Ventures"/>
    <n v="2018"/>
    <n v="103.3"/>
    <n v="337"/>
  </r>
  <r>
    <x v="81"/>
    <x v="0"/>
    <x v="0"/>
    <x v="3"/>
    <n v="0.7"/>
    <d v="2019-09-25T00:00:00"/>
    <x v="0"/>
    <s v="Matrix Partners"/>
    <n v="2012"/>
    <n v="6.1"/>
    <n v="10"/>
  </r>
  <r>
    <x v="82"/>
    <x v="11"/>
    <x v="0"/>
    <x v="2"/>
    <n v="32.1"/>
    <d v="2019-09-27T00:00:00"/>
    <x v="0"/>
    <s v="Kalaari Capital"/>
    <n v="2017"/>
    <n v="188"/>
    <n v="529"/>
  </r>
  <r>
    <x v="83"/>
    <x v="0"/>
    <x v="1"/>
    <x v="2"/>
    <n v="33.700000000000003"/>
    <d v="2019-09-28T00:00:00"/>
    <x v="0"/>
    <s v="Sequoia Capital"/>
    <n v="2018"/>
    <n v="134.19999999999999"/>
    <n v="270"/>
  </r>
  <r>
    <x v="84"/>
    <x v="0"/>
    <x v="0"/>
    <x v="0"/>
    <n v="8.4"/>
    <d v="2019-09-29T00:00:00"/>
    <x v="0"/>
    <s v="Accel"/>
    <n v="2014"/>
    <n v="54.6"/>
    <n v="175"/>
  </r>
  <r>
    <x v="85"/>
    <x v="5"/>
    <x v="8"/>
    <x v="0"/>
    <n v="11.8"/>
    <d v="2019-10-04T00:00:00"/>
    <x v="0"/>
    <s v="Kalaari Capital"/>
    <n v="2012"/>
    <n v="87.1"/>
    <n v="167"/>
  </r>
  <r>
    <x v="86"/>
    <x v="9"/>
    <x v="0"/>
    <x v="0"/>
    <n v="6.2"/>
    <d v="2019-10-04T00:00:00"/>
    <x v="0"/>
    <s v="Nexus Venture"/>
    <n v="2014"/>
    <n v="41.1"/>
    <n v="88"/>
  </r>
  <r>
    <x v="87"/>
    <x v="6"/>
    <x v="5"/>
    <x v="2"/>
    <n v="58.4"/>
    <d v="2019-10-08T00:00:00"/>
    <x v="0"/>
    <s v="Blume Ventures"/>
    <n v="2019"/>
    <n v="321.60000000000002"/>
    <n v="491"/>
  </r>
  <r>
    <x v="88"/>
    <x v="5"/>
    <x v="7"/>
    <x v="0"/>
    <n v="11.5"/>
    <d v="2019-10-13T00:00:00"/>
    <x v="0"/>
    <s v="Nexus Venture"/>
    <n v="2012"/>
    <n v="58.8"/>
    <n v="189"/>
  </r>
  <r>
    <x v="89"/>
    <x v="4"/>
    <x v="8"/>
    <x v="3"/>
    <n v="2.8"/>
    <d v="2019-10-22T00:00:00"/>
    <x v="0"/>
    <s v="Lightspeed"/>
    <n v="2015"/>
    <n v="25.7"/>
    <n v="87"/>
  </r>
  <r>
    <x v="90"/>
    <x v="9"/>
    <x v="4"/>
    <x v="0"/>
    <n v="8.9"/>
    <d v="2019-10-23T00:00:00"/>
    <x v="0"/>
    <s v="Tiger Global"/>
    <n v="2017"/>
    <n v="37.5"/>
    <n v="136"/>
  </r>
  <r>
    <x v="91"/>
    <x v="6"/>
    <x v="4"/>
    <x v="0"/>
    <n v="7.4"/>
    <d v="2019-10-25T00:00:00"/>
    <x v="0"/>
    <s v="Y Combinator"/>
    <n v="2019"/>
    <n v="48.4"/>
    <n v="143"/>
  </r>
  <r>
    <x v="92"/>
    <x v="4"/>
    <x v="8"/>
    <x v="3"/>
    <n v="2.5"/>
    <d v="2019-10-26T00:00:00"/>
    <x v="0"/>
    <s v="Matrix Partners"/>
    <n v="2018"/>
    <n v="22.3"/>
    <n v="47"/>
  </r>
  <r>
    <x v="93"/>
    <x v="4"/>
    <x v="5"/>
    <x v="4"/>
    <n v="161.6"/>
    <d v="2019-10-28T00:00:00"/>
    <x v="0"/>
    <s v="Info Edge"/>
    <n v="2017"/>
    <n v="1117.8"/>
    <n v="2843"/>
  </r>
  <r>
    <x v="94"/>
    <x v="1"/>
    <x v="0"/>
    <x v="2"/>
    <n v="18.600000000000001"/>
    <d v="2019-11-04T00:00:00"/>
    <x v="0"/>
    <s v="Lightspeed"/>
    <n v="2015"/>
    <n v="107"/>
    <n v="377"/>
  </r>
  <r>
    <x v="95"/>
    <x v="4"/>
    <x v="7"/>
    <x v="3"/>
    <n v="0.8"/>
    <d v="2019-11-09T00:00:00"/>
    <x v="0"/>
    <s v="Accel"/>
    <n v="2017"/>
    <n v="7.4"/>
    <n v="25"/>
  </r>
  <r>
    <x v="96"/>
    <x v="11"/>
    <x v="4"/>
    <x v="1"/>
    <n v="107.5"/>
    <d v="2019-11-14T00:00:00"/>
    <x v="0"/>
    <s v="Chiratae Ventures"/>
    <n v="2012"/>
    <n v="835.5"/>
    <n v="2538"/>
  </r>
  <r>
    <x v="97"/>
    <x v="4"/>
    <x v="4"/>
    <x v="0"/>
    <n v="7.9"/>
    <d v="2019-11-17T00:00:00"/>
    <x v="0"/>
    <s v="SoftBank"/>
    <n v="2019"/>
    <n v="60"/>
    <n v="215"/>
  </r>
  <r>
    <x v="98"/>
    <x v="0"/>
    <x v="0"/>
    <x v="1"/>
    <n v="86.6"/>
    <d v="2019-11-27T00:00:00"/>
    <x v="0"/>
    <s v="3one4 Capital"/>
    <n v="2012"/>
    <n v="800.2"/>
    <n v="2022"/>
  </r>
  <r>
    <x v="99"/>
    <x v="4"/>
    <x v="6"/>
    <x v="0"/>
    <n v="12"/>
    <d v="2019-11-30T00:00:00"/>
    <x v="0"/>
    <s v="Accel"/>
    <n v="2019"/>
    <n v="77"/>
    <n v="134"/>
  </r>
  <r>
    <x v="100"/>
    <x v="1"/>
    <x v="1"/>
    <x v="4"/>
    <n v="175.5"/>
    <d v="2019-12-03T00:00:00"/>
    <x v="0"/>
    <s v="Y Combinator"/>
    <n v="2017"/>
    <n v="1694.2"/>
    <n v="3976"/>
  </r>
  <r>
    <x v="101"/>
    <x v="6"/>
    <x v="1"/>
    <x v="3"/>
    <n v="0.6"/>
    <d v="2019-12-10T00:00:00"/>
    <x v="0"/>
    <s v="Lightspeed"/>
    <n v="2017"/>
    <n v="5.7"/>
    <n v="16"/>
  </r>
  <r>
    <x v="102"/>
    <x v="11"/>
    <x v="0"/>
    <x v="2"/>
    <n v="37.4"/>
    <d v="2019-12-10T00:00:00"/>
    <x v="0"/>
    <s v="Lightspeed"/>
    <n v="2013"/>
    <n v="244.6"/>
    <n v="629"/>
  </r>
  <r>
    <x v="103"/>
    <x v="3"/>
    <x v="0"/>
    <x v="3"/>
    <n v="3.6"/>
    <d v="2019-12-13T00:00:00"/>
    <x v="0"/>
    <s v="Peak XV"/>
    <n v="2015"/>
    <n v="27.9"/>
    <n v="71"/>
  </r>
  <r>
    <x v="104"/>
    <x v="4"/>
    <x v="2"/>
    <x v="2"/>
    <n v="46.5"/>
    <d v="2019-12-15T00:00:00"/>
    <x v="0"/>
    <s v="Kalaari Capital"/>
    <n v="2012"/>
    <n v="163"/>
    <n v="295"/>
  </r>
  <r>
    <x v="105"/>
    <x v="0"/>
    <x v="0"/>
    <x v="3"/>
    <n v="3.3"/>
    <d v="2019-12-22T00:00:00"/>
    <x v="0"/>
    <s v="Tiger Global"/>
    <n v="2018"/>
    <n v="22.1"/>
    <n v="74"/>
  </r>
  <r>
    <x v="106"/>
    <x v="3"/>
    <x v="2"/>
    <x v="0"/>
    <n v="11.6"/>
    <d v="2019-12-23T00:00:00"/>
    <x v="0"/>
    <s v="Matrix Partners"/>
    <n v="2014"/>
    <n v="48.6"/>
    <n v="104"/>
  </r>
  <r>
    <x v="107"/>
    <x v="9"/>
    <x v="0"/>
    <x v="3"/>
    <n v="1.7"/>
    <d v="2019-12-24T00:00:00"/>
    <x v="0"/>
    <s v="Lightspeed"/>
    <n v="2017"/>
    <n v="14.3"/>
    <n v="56"/>
  </r>
  <r>
    <x v="108"/>
    <x v="7"/>
    <x v="1"/>
    <x v="2"/>
    <n v="44.6"/>
    <d v="2019-12-26T00:00:00"/>
    <x v="0"/>
    <s v="Info Edge"/>
    <n v="2017"/>
    <n v="311.10000000000002"/>
    <n v="647"/>
  </r>
  <r>
    <x v="109"/>
    <x v="7"/>
    <x v="1"/>
    <x v="3"/>
    <n v="0.4"/>
    <d v="2019-12-28T00:00:00"/>
    <x v="0"/>
    <s v="Chiratae Ventures"/>
    <n v="2015"/>
    <n v="3.6"/>
    <n v="8"/>
  </r>
  <r>
    <x v="110"/>
    <x v="7"/>
    <x v="1"/>
    <x v="0"/>
    <n v="12.7"/>
    <d v="2019-12-31T00:00:00"/>
    <x v="0"/>
    <s v="Tiger Global"/>
    <n v="2017"/>
    <n v="86.6"/>
    <n v="167"/>
  </r>
  <r>
    <x v="111"/>
    <x v="3"/>
    <x v="0"/>
    <x v="3"/>
    <n v="2.8"/>
    <d v="2019-12-31T00:00:00"/>
    <x v="0"/>
    <s v="Kalaari Capital"/>
    <n v="2015"/>
    <n v="16.399999999999999"/>
    <n v="32"/>
  </r>
  <r>
    <x v="112"/>
    <x v="6"/>
    <x v="1"/>
    <x v="2"/>
    <n v="34.4"/>
    <d v="2020-01-03T00:00:00"/>
    <x v="1"/>
    <s v="SoftBank"/>
    <n v="2017"/>
    <n v="162.80000000000001"/>
    <n v="370"/>
  </r>
  <r>
    <x v="113"/>
    <x v="7"/>
    <x v="8"/>
    <x v="4"/>
    <n v="382.3"/>
    <d v="2020-01-08T00:00:00"/>
    <x v="1"/>
    <s v="Tiger Global"/>
    <n v="2016"/>
    <n v="2985.6"/>
    <n v="6064"/>
  </r>
  <r>
    <x v="114"/>
    <x v="3"/>
    <x v="5"/>
    <x v="3"/>
    <n v="1.6"/>
    <d v="2020-01-10T00:00:00"/>
    <x v="1"/>
    <s v="Matrix Partners"/>
    <n v="2020"/>
    <n v="12.2"/>
    <n v="44"/>
  </r>
  <r>
    <x v="115"/>
    <x v="5"/>
    <x v="4"/>
    <x v="3"/>
    <n v="1"/>
    <d v="2020-01-12T00:00:00"/>
    <x v="1"/>
    <s v="Y Combinator"/>
    <n v="2015"/>
    <n v="4.2"/>
    <n v="8"/>
  </r>
  <r>
    <x v="116"/>
    <x v="3"/>
    <x v="0"/>
    <x v="2"/>
    <n v="45.6"/>
    <d v="2020-01-15T00:00:00"/>
    <x v="1"/>
    <s v="3one4 Capital"/>
    <n v="2016"/>
    <n v="183.1"/>
    <n v="334"/>
  </r>
  <r>
    <x v="117"/>
    <x v="7"/>
    <x v="2"/>
    <x v="0"/>
    <n v="9.1999999999999993"/>
    <d v="2020-01-18T00:00:00"/>
    <x v="1"/>
    <s v="Blume Ventures"/>
    <n v="2019"/>
    <n v="55.6"/>
    <n v="102"/>
  </r>
  <r>
    <x v="118"/>
    <x v="6"/>
    <x v="1"/>
    <x v="1"/>
    <n v="62.2"/>
    <d v="2020-01-20T00:00:00"/>
    <x v="1"/>
    <s v="Matrix Partners"/>
    <n v="2015"/>
    <n v="396.7"/>
    <n v="833"/>
  </r>
  <r>
    <x v="119"/>
    <x v="1"/>
    <x v="1"/>
    <x v="2"/>
    <n v="22.3"/>
    <d v="2020-01-21T00:00:00"/>
    <x v="1"/>
    <s v="Accel"/>
    <n v="2017"/>
    <n v="136.5"/>
    <n v="515"/>
  </r>
  <r>
    <x v="120"/>
    <x v="7"/>
    <x v="4"/>
    <x v="0"/>
    <n v="8.3000000000000007"/>
    <d v="2020-01-21T00:00:00"/>
    <x v="1"/>
    <s v="SoftBank"/>
    <n v="2012"/>
    <n v="36.700000000000003"/>
    <n v="134"/>
  </r>
  <r>
    <x v="121"/>
    <x v="4"/>
    <x v="4"/>
    <x v="0"/>
    <n v="14.1"/>
    <d v="2020-02-02T00:00:00"/>
    <x v="1"/>
    <s v="Elevation Capital"/>
    <n v="2018"/>
    <n v="102.8"/>
    <n v="315"/>
  </r>
  <r>
    <x v="122"/>
    <x v="3"/>
    <x v="6"/>
    <x v="3"/>
    <n v="0.6"/>
    <d v="2020-02-03T00:00:00"/>
    <x v="1"/>
    <s v="SoftBank"/>
    <n v="2020"/>
    <n v="5.2"/>
    <n v="8"/>
  </r>
  <r>
    <x v="123"/>
    <x v="9"/>
    <x v="7"/>
    <x v="3"/>
    <n v="3.5"/>
    <d v="2020-02-05T00:00:00"/>
    <x v="1"/>
    <s v="Kalaari Capital"/>
    <n v="2014"/>
    <n v="20.2"/>
    <n v="43"/>
  </r>
  <r>
    <x v="124"/>
    <x v="4"/>
    <x v="1"/>
    <x v="0"/>
    <n v="14.7"/>
    <d v="2020-02-05T00:00:00"/>
    <x v="1"/>
    <s v="Lightspeed"/>
    <n v="2012"/>
    <n v="105.7"/>
    <n v="191"/>
  </r>
  <r>
    <x v="125"/>
    <x v="11"/>
    <x v="6"/>
    <x v="0"/>
    <n v="9.4"/>
    <d v="2020-02-09T00:00:00"/>
    <x v="1"/>
    <s v="Peak XV"/>
    <n v="2018"/>
    <n v="57.5"/>
    <n v="88"/>
  </r>
  <r>
    <x v="126"/>
    <x v="4"/>
    <x v="4"/>
    <x v="2"/>
    <n v="25.5"/>
    <d v="2020-02-19T00:00:00"/>
    <x v="1"/>
    <s v="Blume Ventures"/>
    <n v="2012"/>
    <n v="185.5"/>
    <n v="681"/>
  </r>
  <r>
    <x v="127"/>
    <x v="3"/>
    <x v="2"/>
    <x v="0"/>
    <n v="9.8000000000000007"/>
    <d v="2020-02-19T00:00:00"/>
    <x v="1"/>
    <s v="Peak XV"/>
    <n v="2017"/>
    <n v="73.2"/>
    <n v="174"/>
  </r>
  <r>
    <x v="128"/>
    <x v="2"/>
    <x v="0"/>
    <x v="3"/>
    <n v="3.8"/>
    <d v="2020-02-21T00:00:00"/>
    <x v="1"/>
    <s v="Tiger Global"/>
    <n v="2014"/>
    <n v="35.700000000000003"/>
    <n v="62"/>
  </r>
  <r>
    <x v="129"/>
    <x v="11"/>
    <x v="1"/>
    <x v="3"/>
    <n v="2.7"/>
    <d v="2020-02-23T00:00:00"/>
    <x v="1"/>
    <s v="Blume Ventures"/>
    <n v="2016"/>
    <n v="22.2"/>
    <n v="51"/>
  </r>
  <r>
    <x v="130"/>
    <x v="4"/>
    <x v="0"/>
    <x v="0"/>
    <n v="10.9"/>
    <d v="2020-02-27T00:00:00"/>
    <x v="1"/>
    <s v="Sequoia Capital"/>
    <n v="2015"/>
    <n v="62.8"/>
    <n v="214"/>
  </r>
  <r>
    <x v="131"/>
    <x v="0"/>
    <x v="7"/>
    <x v="0"/>
    <n v="13.3"/>
    <d v="2020-03-03T00:00:00"/>
    <x v="1"/>
    <s v="Sequoia Capital"/>
    <n v="2020"/>
    <n v="49.1"/>
    <n v="188"/>
  </r>
  <r>
    <x v="132"/>
    <x v="6"/>
    <x v="1"/>
    <x v="2"/>
    <n v="44.7"/>
    <d v="2020-03-07T00:00:00"/>
    <x v="1"/>
    <s v="Y Combinator"/>
    <n v="2012"/>
    <n v="305.2"/>
    <n v="985"/>
  </r>
  <r>
    <x v="133"/>
    <x v="2"/>
    <x v="1"/>
    <x v="3"/>
    <n v="2.5"/>
    <d v="2020-03-11T00:00:00"/>
    <x v="1"/>
    <s v="SoftBank"/>
    <n v="2020"/>
    <n v="15.3"/>
    <n v="31"/>
  </r>
  <r>
    <x v="134"/>
    <x v="2"/>
    <x v="2"/>
    <x v="1"/>
    <n v="121.7"/>
    <d v="2020-03-14T00:00:00"/>
    <x v="1"/>
    <s v="Peak XV"/>
    <n v="2013"/>
    <n v="595.6"/>
    <n v="1534"/>
  </r>
  <r>
    <x v="135"/>
    <x v="6"/>
    <x v="1"/>
    <x v="1"/>
    <n v="116.4"/>
    <d v="2020-03-14T00:00:00"/>
    <x v="1"/>
    <s v="Lightspeed"/>
    <n v="2020"/>
    <n v="701.9"/>
    <n v="1487"/>
  </r>
  <r>
    <x v="136"/>
    <x v="6"/>
    <x v="4"/>
    <x v="0"/>
    <n v="11.8"/>
    <d v="2020-03-17T00:00:00"/>
    <x v="1"/>
    <s v="Lightspeed"/>
    <n v="2019"/>
    <n v="91"/>
    <n v="295"/>
  </r>
  <r>
    <x v="137"/>
    <x v="6"/>
    <x v="0"/>
    <x v="3"/>
    <n v="3.1"/>
    <d v="2020-03-25T00:00:00"/>
    <x v="1"/>
    <s v="Chiratae Ventures"/>
    <n v="2016"/>
    <n v="26.6"/>
    <n v="88"/>
  </r>
  <r>
    <x v="138"/>
    <x v="6"/>
    <x v="3"/>
    <x v="3"/>
    <n v="3.5"/>
    <d v="2020-03-30T00:00:00"/>
    <x v="1"/>
    <s v="Peak XV"/>
    <n v="2018"/>
    <n v="30.8"/>
    <n v="99"/>
  </r>
  <r>
    <x v="139"/>
    <x v="9"/>
    <x v="8"/>
    <x v="2"/>
    <n v="35.5"/>
    <d v="2020-04-04T00:00:00"/>
    <x v="1"/>
    <s v="Matrix Partners"/>
    <n v="2013"/>
    <n v="135.5"/>
    <n v="380"/>
  </r>
  <r>
    <x v="140"/>
    <x v="3"/>
    <x v="0"/>
    <x v="3"/>
    <n v="1.1000000000000001"/>
    <d v="2020-04-04T00:00:00"/>
    <x v="1"/>
    <s v="Peak XV"/>
    <n v="2015"/>
    <n v="9.6999999999999993"/>
    <n v="20"/>
  </r>
  <r>
    <x v="141"/>
    <x v="9"/>
    <x v="7"/>
    <x v="3"/>
    <n v="2.7"/>
    <d v="2020-04-07T00:00:00"/>
    <x v="1"/>
    <s v="Accel"/>
    <n v="2020"/>
    <n v="24.6"/>
    <n v="71"/>
  </r>
  <r>
    <x v="142"/>
    <x v="2"/>
    <x v="8"/>
    <x v="3"/>
    <n v="2.6"/>
    <d v="2020-04-07T00:00:00"/>
    <x v="1"/>
    <s v="Tiger Global"/>
    <n v="2017"/>
    <n v="14.3"/>
    <n v="29"/>
  </r>
  <r>
    <x v="143"/>
    <x v="9"/>
    <x v="1"/>
    <x v="0"/>
    <n v="11.8"/>
    <d v="2020-04-08T00:00:00"/>
    <x v="1"/>
    <s v="Info Edge"/>
    <n v="2013"/>
    <n v="90.8"/>
    <n v="210"/>
  </r>
  <r>
    <x v="144"/>
    <x v="2"/>
    <x v="3"/>
    <x v="1"/>
    <n v="88.4"/>
    <d v="2020-04-09T00:00:00"/>
    <x v="1"/>
    <s v="Blume Ventures"/>
    <n v="2012"/>
    <n v="382.2"/>
    <n v="1114"/>
  </r>
  <r>
    <x v="145"/>
    <x v="4"/>
    <x v="1"/>
    <x v="1"/>
    <n v="51.6"/>
    <d v="2020-04-14T00:00:00"/>
    <x v="1"/>
    <s v="Nexus Venture"/>
    <n v="2017"/>
    <n v="263.5"/>
    <n v="886"/>
  </r>
  <r>
    <x v="146"/>
    <x v="10"/>
    <x v="4"/>
    <x v="1"/>
    <n v="57.7"/>
    <d v="2020-04-16T00:00:00"/>
    <x v="1"/>
    <s v="Peak XV"/>
    <n v="2020"/>
    <n v="257.5"/>
    <n v="938"/>
  </r>
  <r>
    <x v="147"/>
    <x v="4"/>
    <x v="1"/>
    <x v="3"/>
    <n v="1.9"/>
    <d v="2020-04-26T00:00:00"/>
    <x v="1"/>
    <s v="Peak XV"/>
    <n v="2017"/>
    <n v="12.8"/>
    <n v="24"/>
  </r>
  <r>
    <x v="148"/>
    <x v="3"/>
    <x v="7"/>
    <x v="3"/>
    <n v="4.0999999999999996"/>
    <d v="2020-04-26T00:00:00"/>
    <x v="1"/>
    <s v="Accel"/>
    <n v="2016"/>
    <n v="30.7"/>
    <n v="57"/>
  </r>
  <r>
    <x v="149"/>
    <x v="2"/>
    <x v="0"/>
    <x v="0"/>
    <n v="11.2"/>
    <d v="2020-05-07T00:00:00"/>
    <x v="1"/>
    <s v="Kalaari Capital"/>
    <n v="2018"/>
    <n v="44.5"/>
    <n v="72"/>
  </r>
  <r>
    <x v="150"/>
    <x v="11"/>
    <x v="2"/>
    <x v="0"/>
    <n v="11.2"/>
    <d v="2020-05-09T00:00:00"/>
    <x v="1"/>
    <s v="Accel"/>
    <n v="2016"/>
    <n v="39.9"/>
    <n v="69"/>
  </r>
  <r>
    <x v="151"/>
    <x v="7"/>
    <x v="1"/>
    <x v="0"/>
    <n v="13.8"/>
    <d v="2020-05-11T00:00:00"/>
    <x v="1"/>
    <s v="Chiratae Ventures"/>
    <n v="2016"/>
    <n v="66.5"/>
    <n v="193"/>
  </r>
  <r>
    <x v="152"/>
    <x v="1"/>
    <x v="4"/>
    <x v="1"/>
    <n v="64.8"/>
    <d v="2020-05-11T00:00:00"/>
    <x v="1"/>
    <s v="Matrix Partners"/>
    <n v="2019"/>
    <n v="370.8"/>
    <n v="1106"/>
  </r>
  <r>
    <x v="153"/>
    <x v="4"/>
    <x v="0"/>
    <x v="0"/>
    <n v="6"/>
    <d v="2020-05-12T00:00:00"/>
    <x v="1"/>
    <s v="Tiger Global"/>
    <n v="2018"/>
    <n v="44.9"/>
    <n v="128"/>
  </r>
  <r>
    <x v="154"/>
    <x v="1"/>
    <x v="4"/>
    <x v="4"/>
    <n v="294"/>
    <d v="2020-05-13T00:00:00"/>
    <x v="1"/>
    <s v="Accel"/>
    <n v="2020"/>
    <n v="1465.9"/>
    <n v="3066"/>
  </r>
  <r>
    <x v="155"/>
    <x v="11"/>
    <x v="0"/>
    <x v="2"/>
    <n v="33.799999999999997"/>
    <d v="2020-05-14T00:00:00"/>
    <x v="1"/>
    <s v="Info Edge"/>
    <n v="2019"/>
    <n v="142.80000000000001"/>
    <n v="403"/>
  </r>
  <r>
    <x v="156"/>
    <x v="0"/>
    <x v="0"/>
    <x v="2"/>
    <n v="18.399999999999999"/>
    <d v="2020-05-15T00:00:00"/>
    <x v="1"/>
    <s v="Elevation Capital"/>
    <n v="2015"/>
    <n v="146.9"/>
    <n v="565"/>
  </r>
  <r>
    <x v="157"/>
    <x v="7"/>
    <x v="1"/>
    <x v="0"/>
    <n v="13.2"/>
    <d v="2020-05-15T00:00:00"/>
    <x v="1"/>
    <s v="Peak XV"/>
    <n v="2015"/>
    <n v="86.1"/>
    <n v="340"/>
  </r>
  <r>
    <x v="158"/>
    <x v="9"/>
    <x v="1"/>
    <x v="4"/>
    <n v="164.2"/>
    <d v="2020-05-19T00:00:00"/>
    <x v="1"/>
    <s v="Sequoia Capital"/>
    <n v="2017"/>
    <n v="1726.6"/>
    <n v="6583"/>
  </r>
  <r>
    <x v="159"/>
    <x v="3"/>
    <x v="0"/>
    <x v="1"/>
    <n v="128.69999999999999"/>
    <d v="2020-05-20T00:00:00"/>
    <x v="1"/>
    <s v="Tiger Global"/>
    <n v="2020"/>
    <n v="982.9"/>
    <n v="3293"/>
  </r>
  <r>
    <x v="160"/>
    <x v="6"/>
    <x v="1"/>
    <x v="3"/>
    <n v="2.6"/>
    <d v="2020-05-22T00:00:00"/>
    <x v="1"/>
    <s v="SoftBank"/>
    <n v="2015"/>
    <n v="19.8"/>
    <n v="58"/>
  </r>
  <r>
    <x v="161"/>
    <x v="10"/>
    <x v="1"/>
    <x v="0"/>
    <n v="15.3"/>
    <d v="2020-05-23T00:00:00"/>
    <x v="1"/>
    <s v="Info Edge"/>
    <n v="2017"/>
    <n v="92.1"/>
    <n v="177"/>
  </r>
  <r>
    <x v="162"/>
    <x v="0"/>
    <x v="6"/>
    <x v="0"/>
    <n v="12.7"/>
    <d v="2020-05-28T00:00:00"/>
    <x v="1"/>
    <s v="Lightspeed"/>
    <n v="2014"/>
    <n v="61.1"/>
    <n v="223"/>
  </r>
  <r>
    <x v="163"/>
    <x v="4"/>
    <x v="7"/>
    <x v="3"/>
    <n v="2.4"/>
    <d v="2020-05-29T00:00:00"/>
    <x v="1"/>
    <s v="Sequoia Capital"/>
    <n v="2015"/>
    <n v="16"/>
    <n v="26"/>
  </r>
  <r>
    <x v="164"/>
    <x v="3"/>
    <x v="1"/>
    <x v="4"/>
    <n v="341.1"/>
    <d v="2020-06-03T00:00:00"/>
    <x v="1"/>
    <s v="SoftBank"/>
    <n v="2020"/>
    <n v="2948"/>
    <n v="9501"/>
  </r>
  <r>
    <x v="165"/>
    <x v="3"/>
    <x v="0"/>
    <x v="1"/>
    <n v="54.7"/>
    <d v="2020-06-03T00:00:00"/>
    <x v="1"/>
    <s v="Y Combinator"/>
    <n v="2017"/>
    <n v="257.60000000000002"/>
    <n v="810"/>
  </r>
  <r>
    <x v="166"/>
    <x v="2"/>
    <x v="0"/>
    <x v="0"/>
    <n v="11"/>
    <d v="2020-06-05T00:00:00"/>
    <x v="1"/>
    <s v="Lightspeed"/>
    <n v="2012"/>
    <n v="59.5"/>
    <n v="202"/>
  </r>
  <r>
    <x v="167"/>
    <x v="10"/>
    <x v="6"/>
    <x v="1"/>
    <n v="71.7"/>
    <d v="2020-06-08T00:00:00"/>
    <x v="1"/>
    <s v="Nexus Venture"/>
    <n v="2020"/>
    <n v="307"/>
    <n v="658"/>
  </r>
  <r>
    <x v="168"/>
    <x v="6"/>
    <x v="4"/>
    <x v="4"/>
    <n v="381.5"/>
    <d v="2020-06-11T00:00:00"/>
    <x v="1"/>
    <s v="Nexus Venture"/>
    <n v="2020"/>
    <n v="1923.1"/>
    <n v="4950"/>
  </r>
  <r>
    <x v="169"/>
    <x v="4"/>
    <x v="0"/>
    <x v="2"/>
    <n v="19.899999999999999"/>
    <d v="2020-06-12T00:00:00"/>
    <x v="1"/>
    <s v="Accel"/>
    <n v="2013"/>
    <n v="111.4"/>
    <n v="339"/>
  </r>
  <r>
    <x v="170"/>
    <x v="6"/>
    <x v="4"/>
    <x v="0"/>
    <n v="6.4"/>
    <d v="2020-06-13T00:00:00"/>
    <x v="1"/>
    <s v="Tiger Global"/>
    <n v="2015"/>
    <n v="33.9"/>
    <n v="128"/>
  </r>
  <r>
    <x v="171"/>
    <x v="0"/>
    <x v="7"/>
    <x v="2"/>
    <n v="40"/>
    <d v="2020-06-13T00:00:00"/>
    <x v="1"/>
    <s v="Nexus Venture"/>
    <n v="2014"/>
    <n v="196.4"/>
    <n v="630"/>
  </r>
  <r>
    <x v="172"/>
    <x v="3"/>
    <x v="1"/>
    <x v="2"/>
    <n v="31.9"/>
    <d v="2020-06-20T00:00:00"/>
    <x v="1"/>
    <s v="Accel"/>
    <n v="2016"/>
    <n v="232.8"/>
    <n v="546"/>
  </r>
  <r>
    <x v="173"/>
    <x v="0"/>
    <x v="1"/>
    <x v="2"/>
    <n v="21.6"/>
    <d v="2020-06-21T00:00:00"/>
    <x v="1"/>
    <s v="Lightspeed"/>
    <n v="2017"/>
    <n v="137.5"/>
    <n v="335"/>
  </r>
  <r>
    <x v="174"/>
    <x v="4"/>
    <x v="7"/>
    <x v="3"/>
    <n v="3.7"/>
    <d v="2020-06-22T00:00:00"/>
    <x v="1"/>
    <s v="Lightspeed"/>
    <n v="2020"/>
    <n v="33"/>
    <n v="84"/>
  </r>
  <r>
    <x v="175"/>
    <x v="4"/>
    <x v="1"/>
    <x v="3"/>
    <n v="2.7"/>
    <d v="2020-06-23T00:00:00"/>
    <x v="1"/>
    <s v="Sequoia Capital"/>
    <n v="2017"/>
    <n v="16.3"/>
    <n v="44"/>
  </r>
  <r>
    <x v="176"/>
    <x v="1"/>
    <x v="2"/>
    <x v="0"/>
    <n v="9.1"/>
    <d v="2020-06-25T00:00:00"/>
    <x v="1"/>
    <s v="Sequoia Capital"/>
    <n v="2016"/>
    <n v="39.1"/>
    <n v="94"/>
  </r>
  <r>
    <x v="177"/>
    <x v="10"/>
    <x v="0"/>
    <x v="4"/>
    <n v="161"/>
    <d v="2020-07-01T00:00:00"/>
    <x v="1"/>
    <s v="Elevation Capital"/>
    <n v="2018"/>
    <n v="1249.4000000000001"/>
    <n v="4006"/>
  </r>
  <r>
    <x v="178"/>
    <x v="8"/>
    <x v="0"/>
    <x v="3"/>
    <n v="2.2000000000000002"/>
    <d v="2020-07-01T00:00:00"/>
    <x v="1"/>
    <s v="SoftBank"/>
    <n v="2019"/>
    <n v="9.5"/>
    <n v="27"/>
  </r>
  <r>
    <x v="179"/>
    <x v="7"/>
    <x v="1"/>
    <x v="1"/>
    <n v="79"/>
    <d v="2020-07-03T00:00:00"/>
    <x v="1"/>
    <s v="Y Combinator"/>
    <n v="2018"/>
    <n v="657.1"/>
    <n v="1092"/>
  </r>
  <r>
    <x v="180"/>
    <x v="3"/>
    <x v="1"/>
    <x v="0"/>
    <n v="18.2"/>
    <d v="2020-07-08T00:00:00"/>
    <x v="1"/>
    <s v="Tiger Global"/>
    <n v="2017"/>
    <n v="136.30000000000001"/>
    <n v="223"/>
  </r>
  <r>
    <x v="181"/>
    <x v="3"/>
    <x v="6"/>
    <x v="1"/>
    <n v="119.7"/>
    <d v="2020-07-09T00:00:00"/>
    <x v="1"/>
    <s v="Lightspeed"/>
    <n v="2015"/>
    <n v="507.4"/>
    <n v="1865"/>
  </r>
  <r>
    <x v="182"/>
    <x v="4"/>
    <x v="1"/>
    <x v="0"/>
    <n v="6.2"/>
    <d v="2020-07-09T00:00:00"/>
    <x v="1"/>
    <s v="Info Edge"/>
    <n v="2020"/>
    <n v="30.7"/>
    <n v="64"/>
  </r>
  <r>
    <x v="183"/>
    <x v="8"/>
    <x v="1"/>
    <x v="0"/>
    <n v="5.7"/>
    <d v="2020-07-13T00:00:00"/>
    <x v="1"/>
    <s v="Tiger Global"/>
    <n v="2016"/>
    <n v="27.2"/>
    <n v="63"/>
  </r>
  <r>
    <x v="184"/>
    <x v="7"/>
    <x v="7"/>
    <x v="0"/>
    <n v="7.9"/>
    <d v="2020-07-13T00:00:00"/>
    <x v="1"/>
    <s v="Accel"/>
    <n v="2016"/>
    <n v="59.7"/>
    <n v="229"/>
  </r>
  <r>
    <x v="185"/>
    <x v="1"/>
    <x v="4"/>
    <x v="3"/>
    <n v="1.6"/>
    <d v="2020-07-15T00:00:00"/>
    <x v="1"/>
    <s v="Accel"/>
    <n v="2019"/>
    <n v="10.8"/>
    <n v="41"/>
  </r>
  <r>
    <x v="186"/>
    <x v="11"/>
    <x v="0"/>
    <x v="3"/>
    <n v="3.6"/>
    <d v="2020-07-16T00:00:00"/>
    <x v="1"/>
    <s v="Matrix Partners"/>
    <n v="2015"/>
    <n v="22.2"/>
    <n v="68"/>
  </r>
  <r>
    <x v="187"/>
    <x v="4"/>
    <x v="0"/>
    <x v="0"/>
    <n v="5.8"/>
    <d v="2020-07-21T00:00:00"/>
    <x v="1"/>
    <s v="Peak XV"/>
    <n v="2015"/>
    <n v="33.5"/>
    <n v="131"/>
  </r>
  <r>
    <x v="188"/>
    <x v="8"/>
    <x v="4"/>
    <x v="4"/>
    <n v="236.7"/>
    <d v="2020-07-28T00:00:00"/>
    <x v="1"/>
    <s v="Chiratae Ventures"/>
    <n v="2015"/>
    <n v="2078.9"/>
    <n v="7535"/>
  </r>
  <r>
    <x v="189"/>
    <x v="1"/>
    <x v="0"/>
    <x v="3"/>
    <n v="2.5"/>
    <d v="2020-07-29T00:00:00"/>
    <x v="1"/>
    <s v="Sequoia Capital"/>
    <n v="2020"/>
    <n v="21.7"/>
    <n v="66"/>
  </r>
  <r>
    <x v="190"/>
    <x v="6"/>
    <x v="1"/>
    <x v="2"/>
    <n v="41.8"/>
    <d v="2020-08-01T00:00:00"/>
    <x v="1"/>
    <s v="Tiger Global"/>
    <n v="2013"/>
    <n v="237.3"/>
    <n v="431"/>
  </r>
  <r>
    <x v="191"/>
    <x v="6"/>
    <x v="5"/>
    <x v="4"/>
    <n v="119.8"/>
    <d v="2020-08-03T00:00:00"/>
    <x v="1"/>
    <s v="Info Edge"/>
    <n v="2020"/>
    <n v="784.6"/>
    <n v="1882"/>
  </r>
  <r>
    <x v="192"/>
    <x v="3"/>
    <x v="1"/>
    <x v="3"/>
    <n v="2.2000000000000002"/>
    <d v="2020-08-04T00:00:00"/>
    <x v="1"/>
    <s v="Sequoia Capital"/>
    <n v="2015"/>
    <n v="11.2"/>
    <n v="29"/>
  </r>
  <r>
    <x v="193"/>
    <x v="9"/>
    <x v="1"/>
    <x v="3"/>
    <n v="5"/>
    <d v="2020-08-04T00:00:00"/>
    <x v="1"/>
    <s v="Accel"/>
    <n v="2013"/>
    <n v="37.1"/>
    <n v="120"/>
  </r>
  <r>
    <x v="194"/>
    <x v="7"/>
    <x v="1"/>
    <x v="3"/>
    <n v="3.4"/>
    <d v="2020-08-07T00:00:00"/>
    <x v="1"/>
    <s v="Info Edge"/>
    <n v="2015"/>
    <n v="17.7"/>
    <n v="46"/>
  </r>
  <r>
    <x v="195"/>
    <x v="10"/>
    <x v="0"/>
    <x v="3"/>
    <n v="3"/>
    <d v="2020-08-09T00:00:00"/>
    <x v="1"/>
    <s v="Blume Ventures"/>
    <n v="2019"/>
    <n v="21.4"/>
    <n v="45"/>
  </r>
  <r>
    <x v="196"/>
    <x v="3"/>
    <x v="0"/>
    <x v="2"/>
    <n v="42.7"/>
    <d v="2020-08-16T00:00:00"/>
    <x v="1"/>
    <s v="Kalaari Capital"/>
    <n v="2013"/>
    <n v="205.8"/>
    <n v="595"/>
  </r>
  <r>
    <x v="197"/>
    <x v="11"/>
    <x v="7"/>
    <x v="2"/>
    <n v="20.6"/>
    <d v="2020-08-17T00:00:00"/>
    <x v="1"/>
    <s v="3one4 Capital"/>
    <n v="2016"/>
    <n v="73.5"/>
    <n v="240"/>
  </r>
  <r>
    <x v="198"/>
    <x v="9"/>
    <x v="4"/>
    <x v="3"/>
    <n v="1.2"/>
    <d v="2020-08-20T00:00:00"/>
    <x v="1"/>
    <s v="Accel"/>
    <n v="2015"/>
    <n v="8.4"/>
    <n v="22"/>
  </r>
  <r>
    <x v="199"/>
    <x v="4"/>
    <x v="5"/>
    <x v="3"/>
    <n v="3.1"/>
    <d v="2020-08-21T00:00:00"/>
    <x v="1"/>
    <s v="Chiratae Ventures"/>
    <n v="2016"/>
    <n v="21.4"/>
    <n v="37"/>
  </r>
  <r>
    <x v="200"/>
    <x v="3"/>
    <x v="1"/>
    <x v="3"/>
    <n v="1.7"/>
    <d v="2020-08-22T00:00:00"/>
    <x v="1"/>
    <s v="Sequoia Capital"/>
    <n v="2018"/>
    <n v="7.6"/>
    <n v="11"/>
  </r>
  <r>
    <x v="201"/>
    <x v="9"/>
    <x v="4"/>
    <x v="3"/>
    <n v="3.8"/>
    <d v="2020-08-23T00:00:00"/>
    <x v="1"/>
    <s v="3one4 Capital"/>
    <n v="2020"/>
    <n v="34.700000000000003"/>
    <n v="117"/>
  </r>
  <r>
    <x v="202"/>
    <x v="2"/>
    <x v="2"/>
    <x v="3"/>
    <n v="2.6"/>
    <d v="2020-08-24T00:00:00"/>
    <x v="1"/>
    <s v="Blume Ventures"/>
    <n v="2017"/>
    <n v="18.7"/>
    <n v="72"/>
  </r>
  <r>
    <x v="203"/>
    <x v="6"/>
    <x v="1"/>
    <x v="0"/>
    <n v="15.6"/>
    <d v="2020-08-24T00:00:00"/>
    <x v="1"/>
    <s v="SoftBank"/>
    <n v="2014"/>
    <n v="83.7"/>
    <n v="185"/>
  </r>
  <r>
    <x v="204"/>
    <x v="9"/>
    <x v="2"/>
    <x v="1"/>
    <n v="118.1"/>
    <d v="2020-08-25T00:00:00"/>
    <x v="1"/>
    <s v="Y Combinator"/>
    <n v="2013"/>
    <n v="631.5"/>
    <n v="2000"/>
  </r>
  <r>
    <x v="205"/>
    <x v="0"/>
    <x v="6"/>
    <x v="3"/>
    <n v="4.4000000000000004"/>
    <d v="2020-08-25T00:00:00"/>
    <x v="1"/>
    <s v="Y Combinator"/>
    <n v="2016"/>
    <n v="41.7"/>
    <n v="145"/>
  </r>
  <r>
    <x v="206"/>
    <x v="1"/>
    <x v="7"/>
    <x v="0"/>
    <n v="5.7"/>
    <d v="2020-09-02T00:00:00"/>
    <x v="1"/>
    <s v="Y Combinator"/>
    <n v="2017"/>
    <n v="21.2"/>
    <n v="69"/>
  </r>
  <r>
    <x v="207"/>
    <x v="7"/>
    <x v="0"/>
    <x v="0"/>
    <n v="7"/>
    <d v="2020-09-04T00:00:00"/>
    <x v="1"/>
    <s v="Info Edge"/>
    <n v="2015"/>
    <n v="55.1"/>
    <n v="195"/>
  </r>
  <r>
    <x v="208"/>
    <x v="9"/>
    <x v="0"/>
    <x v="0"/>
    <n v="16.600000000000001"/>
    <d v="2020-09-05T00:00:00"/>
    <x v="1"/>
    <s v="Blume Ventures"/>
    <n v="2012"/>
    <n v="108.9"/>
    <n v="263"/>
  </r>
  <r>
    <x v="209"/>
    <x v="4"/>
    <x v="0"/>
    <x v="2"/>
    <n v="38.200000000000003"/>
    <d v="2020-09-08T00:00:00"/>
    <x v="1"/>
    <s v="Sequoia Capital"/>
    <n v="2015"/>
    <n v="202.6"/>
    <n v="799"/>
  </r>
  <r>
    <x v="210"/>
    <x v="6"/>
    <x v="6"/>
    <x v="3"/>
    <n v="1"/>
    <d v="2020-09-13T00:00:00"/>
    <x v="1"/>
    <s v="Nexus Venture"/>
    <n v="2014"/>
    <n v="4.8"/>
    <n v="16"/>
  </r>
  <r>
    <x v="211"/>
    <x v="1"/>
    <x v="3"/>
    <x v="3"/>
    <n v="2"/>
    <d v="2020-09-14T00:00:00"/>
    <x v="1"/>
    <s v="Peak XV"/>
    <n v="2019"/>
    <n v="13"/>
    <n v="50"/>
  </r>
  <r>
    <x v="212"/>
    <x v="5"/>
    <x v="3"/>
    <x v="3"/>
    <n v="0.5"/>
    <d v="2020-09-14T00:00:00"/>
    <x v="1"/>
    <s v="Elevation Capital"/>
    <n v="2012"/>
    <n v="2.5"/>
    <n v="8"/>
  </r>
  <r>
    <x v="213"/>
    <x v="0"/>
    <x v="4"/>
    <x v="3"/>
    <n v="2.7"/>
    <d v="2020-09-14T00:00:00"/>
    <x v="1"/>
    <s v="Elevation Capital"/>
    <n v="2015"/>
    <n v="21.5"/>
    <n v="33"/>
  </r>
  <r>
    <x v="214"/>
    <x v="11"/>
    <x v="1"/>
    <x v="3"/>
    <n v="2.5"/>
    <d v="2020-09-22T00:00:00"/>
    <x v="1"/>
    <s v="Y Combinator"/>
    <n v="2016"/>
    <n v="22.8"/>
    <n v="52"/>
  </r>
  <r>
    <x v="215"/>
    <x v="3"/>
    <x v="1"/>
    <x v="1"/>
    <n v="106.6"/>
    <d v="2020-09-22T00:00:00"/>
    <x v="1"/>
    <s v="Info Edge"/>
    <n v="2016"/>
    <n v="579.6"/>
    <n v="870"/>
  </r>
  <r>
    <x v="216"/>
    <x v="9"/>
    <x v="2"/>
    <x v="2"/>
    <n v="36.200000000000003"/>
    <d v="2020-09-24T00:00:00"/>
    <x v="1"/>
    <s v="Accel"/>
    <n v="2020"/>
    <n v="202.1"/>
    <n v="477"/>
  </r>
  <r>
    <x v="217"/>
    <x v="0"/>
    <x v="4"/>
    <x v="3"/>
    <n v="1"/>
    <d v="2020-09-25T00:00:00"/>
    <x v="1"/>
    <s v="Nexus Venture"/>
    <n v="2020"/>
    <n v="4.7"/>
    <n v="8"/>
  </r>
  <r>
    <x v="218"/>
    <x v="10"/>
    <x v="0"/>
    <x v="3"/>
    <n v="2.4"/>
    <d v="2020-09-28T00:00:00"/>
    <x v="1"/>
    <s v="Lightspeed"/>
    <n v="2019"/>
    <n v="20.100000000000001"/>
    <n v="57"/>
  </r>
  <r>
    <x v="219"/>
    <x v="4"/>
    <x v="1"/>
    <x v="3"/>
    <n v="1.2"/>
    <d v="2020-10-01T00:00:00"/>
    <x v="1"/>
    <s v="3one4 Capital"/>
    <n v="2018"/>
    <n v="9.8000000000000007"/>
    <n v="28"/>
  </r>
  <r>
    <x v="220"/>
    <x v="6"/>
    <x v="4"/>
    <x v="4"/>
    <n v="147"/>
    <d v="2020-10-01T00:00:00"/>
    <x v="1"/>
    <s v="Lightspeed"/>
    <n v="2018"/>
    <n v="879.9"/>
    <n v="3292"/>
  </r>
  <r>
    <x v="221"/>
    <x v="1"/>
    <x v="4"/>
    <x v="3"/>
    <n v="2.2999999999999998"/>
    <d v="2020-10-02T00:00:00"/>
    <x v="1"/>
    <s v="3one4 Capital"/>
    <n v="2016"/>
    <n v="20.2"/>
    <n v="54"/>
  </r>
  <r>
    <x v="222"/>
    <x v="6"/>
    <x v="6"/>
    <x v="4"/>
    <n v="142.30000000000001"/>
    <d v="2020-10-08T00:00:00"/>
    <x v="1"/>
    <s v="Chiratae Ventures"/>
    <n v="2015"/>
    <n v="1118.5999999999999"/>
    <n v="2044"/>
  </r>
  <r>
    <x v="223"/>
    <x v="0"/>
    <x v="1"/>
    <x v="1"/>
    <n v="90.8"/>
    <d v="2020-10-12T00:00:00"/>
    <x v="1"/>
    <s v="Nexus Venture"/>
    <n v="2017"/>
    <n v="821"/>
    <n v="1795"/>
  </r>
  <r>
    <x v="224"/>
    <x v="0"/>
    <x v="1"/>
    <x v="0"/>
    <n v="8.1999999999999993"/>
    <d v="2020-10-13T00:00:00"/>
    <x v="1"/>
    <s v="Lightspeed"/>
    <n v="2012"/>
    <n v="41.5"/>
    <n v="143"/>
  </r>
  <r>
    <x v="225"/>
    <x v="3"/>
    <x v="1"/>
    <x v="1"/>
    <n v="108.1"/>
    <d v="2020-10-14T00:00:00"/>
    <x v="1"/>
    <s v="Lightspeed"/>
    <n v="2017"/>
    <n v="566.1"/>
    <n v="1399"/>
  </r>
  <r>
    <x v="226"/>
    <x v="4"/>
    <x v="1"/>
    <x v="2"/>
    <n v="37.700000000000003"/>
    <d v="2020-10-15T00:00:00"/>
    <x v="1"/>
    <s v="Blume Ventures"/>
    <n v="2019"/>
    <n v="150"/>
    <n v="355"/>
  </r>
  <r>
    <x v="227"/>
    <x v="2"/>
    <x v="8"/>
    <x v="2"/>
    <n v="30.8"/>
    <d v="2020-10-16T00:00:00"/>
    <x v="1"/>
    <s v="Sequoia Capital"/>
    <n v="2017"/>
    <n v="241.7"/>
    <n v="961"/>
  </r>
  <r>
    <x v="228"/>
    <x v="3"/>
    <x v="1"/>
    <x v="0"/>
    <n v="11.9"/>
    <d v="2020-10-18T00:00:00"/>
    <x v="1"/>
    <s v="Sequoia Capital"/>
    <n v="2014"/>
    <n v="57.5"/>
    <n v="138"/>
  </r>
  <r>
    <x v="229"/>
    <x v="10"/>
    <x v="3"/>
    <x v="0"/>
    <n v="13.9"/>
    <d v="2020-10-21T00:00:00"/>
    <x v="1"/>
    <s v="SoftBank"/>
    <n v="2018"/>
    <n v="57"/>
    <n v="87"/>
  </r>
  <r>
    <x v="230"/>
    <x v="6"/>
    <x v="8"/>
    <x v="4"/>
    <n v="494.1"/>
    <d v="2020-10-22T00:00:00"/>
    <x v="1"/>
    <s v="Kalaari Capital"/>
    <n v="2017"/>
    <n v="5207.2"/>
    <n v="10295"/>
  </r>
  <r>
    <x v="231"/>
    <x v="0"/>
    <x v="6"/>
    <x v="3"/>
    <n v="1.3"/>
    <d v="2020-10-28T00:00:00"/>
    <x v="1"/>
    <s v="Accel"/>
    <n v="2020"/>
    <n v="7.7"/>
    <n v="21"/>
  </r>
  <r>
    <x v="232"/>
    <x v="5"/>
    <x v="4"/>
    <x v="0"/>
    <n v="11.7"/>
    <d v="2020-11-02T00:00:00"/>
    <x v="1"/>
    <s v="Matrix Partners"/>
    <n v="2020"/>
    <n v="72.7"/>
    <n v="182"/>
  </r>
  <r>
    <x v="233"/>
    <x v="9"/>
    <x v="4"/>
    <x v="2"/>
    <n v="39.700000000000003"/>
    <d v="2020-11-08T00:00:00"/>
    <x v="1"/>
    <s v="Elevation Capital"/>
    <n v="2020"/>
    <n v="277.3"/>
    <n v="1058"/>
  </r>
  <r>
    <x v="234"/>
    <x v="2"/>
    <x v="2"/>
    <x v="1"/>
    <n v="98.4"/>
    <d v="2020-11-10T00:00:00"/>
    <x v="1"/>
    <s v="3one4 Capital"/>
    <n v="2014"/>
    <n v="927.3"/>
    <n v="2860"/>
  </r>
  <r>
    <x v="235"/>
    <x v="6"/>
    <x v="1"/>
    <x v="4"/>
    <n v="378.3"/>
    <d v="2020-11-12T00:00:00"/>
    <x v="1"/>
    <s v="Accel"/>
    <n v="2016"/>
    <n v="3648.6"/>
    <n v="7739"/>
  </r>
  <r>
    <x v="236"/>
    <x v="9"/>
    <x v="4"/>
    <x v="3"/>
    <n v="1.3"/>
    <d v="2020-11-24T00:00:00"/>
    <x v="1"/>
    <s v="Elevation Capital"/>
    <n v="2012"/>
    <n v="7.3"/>
    <n v="12"/>
  </r>
  <r>
    <x v="237"/>
    <x v="1"/>
    <x v="1"/>
    <x v="1"/>
    <n v="94.7"/>
    <d v="2020-11-25T00:00:00"/>
    <x v="1"/>
    <s v="Tiger Global"/>
    <n v="2019"/>
    <n v="622.1"/>
    <n v="2136"/>
  </r>
  <r>
    <x v="238"/>
    <x v="6"/>
    <x v="5"/>
    <x v="1"/>
    <n v="74.2"/>
    <d v="2020-11-26T00:00:00"/>
    <x v="1"/>
    <s v="SoftBank"/>
    <n v="2019"/>
    <n v="493.7"/>
    <n v="1798"/>
  </r>
  <r>
    <x v="239"/>
    <x v="6"/>
    <x v="2"/>
    <x v="1"/>
    <n v="108.3"/>
    <d v="2020-11-28T00:00:00"/>
    <x v="1"/>
    <s v="Peak XV"/>
    <n v="2013"/>
    <n v="545.9"/>
    <n v="1594"/>
  </r>
  <r>
    <x v="240"/>
    <x v="0"/>
    <x v="4"/>
    <x v="1"/>
    <n v="90.3"/>
    <d v="2020-12-03T00:00:00"/>
    <x v="1"/>
    <s v="Matrix Partners"/>
    <n v="2014"/>
    <n v="775.7"/>
    <n v="1654"/>
  </r>
  <r>
    <x v="241"/>
    <x v="7"/>
    <x v="4"/>
    <x v="1"/>
    <n v="57.2"/>
    <d v="2020-12-04T00:00:00"/>
    <x v="1"/>
    <s v="Matrix Partners"/>
    <n v="2019"/>
    <n v="347.2"/>
    <n v="694"/>
  </r>
  <r>
    <x v="242"/>
    <x v="1"/>
    <x v="4"/>
    <x v="4"/>
    <n v="188.4"/>
    <d v="2020-12-05T00:00:00"/>
    <x v="1"/>
    <s v="Info Edge"/>
    <n v="2016"/>
    <n v="1435.9"/>
    <n v="5497"/>
  </r>
  <r>
    <x v="243"/>
    <x v="4"/>
    <x v="1"/>
    <x v="2"/>
    <n v="22.5"/>
    <d v="2020-12-07T00:00:00"/>
    <x v="1"/>
    <s v="SoftBank"/>
    <n v="2017"/>
    <n v="167.8"/>
    <n v="363"/>
  </r>
  <r>
    <x v="244"/>
    <x v="0"/>
    <x v="7"/>
    <x v="4"/>
    <n v="292.3"/>
    <d v="2020-12-08T00:00:00"/>
    <x v="1"/>
    <s v="Sequoia Capital"/>
    <n v="2017"/>
    <n v="2689.3"/>
    <n v="8468"/>
  </r>
  <r>
    <x v="245"/>
    <x v="3"/>
    <x v="7"/>
    <x v="3"/>
    <n v="0.6"/>
    <d v="2020-12-10T00:00:00"/>
    <x v="1"/>
    <s v="Sequoia Capital"/>
    <n v="2013"/>
    <n v="4.8"/>
    <n v="8"/>
  </r>
  <r>
    <x v="246"/>
    <x v="6"/>
    <x v="1"/>
    <x v="2"/>
    <n v="24.8"/>
    <d v="2020-12-12T00:00:00"/>
    <x v="1"/>
    <s v="Nexus Venture"/>
    <n v="2018"/>
    <n v="163.80000000000001"/>
    <n v="498"/>
  </r>
  <r>
    <x v="247"/>
    <x v="6"/>
    <x v="2"/>
    <x v="2"/>
    <n v="17.2"/>
    <d v="2020-12-15T00:00:00"/>
    <x v="1"/>
    <s v="Chiratae Ventures"/>
    <n v="2019"/>
    <n v="66.099999999999994"/>
    <n v="173"/>
  </r>
  <r>
    <x v="248"/>
    <x v="4"/>
    <x v="7"/>
    <x v="2"/>
    <n v="37.200000000000003"/>
    <d v="2020-12-19T00:00:00"/>
    <x v="1"/>
    <s v="3one4 Capital"/>
    <n v="2016"/>
    <n v="226.3"/>
    <n v="457"/>
  </r>
  <r>
    <x v="249"/>
    <x v="1"/>
    <x v="4"/>
    <x v="0"/>
    <n v="4.9000000000000004"/>
    <d v="2020-12-20T00:00:00"/>
    <x v="1"/>
    <s v="Sequoia Capital"/>
    <n v="2015"/>
    <n v="23.1"/>
    <n v="77"/>
  </r>
  <r>
    <x v="250"/>
    <x v="9"/>
    <x v="4"/>
    <x v="3"/>
    <n v="2.8"/>
    <d v="2020-12-26T00:00:00"/>
    <x v="1"/>
    <s v="Accel"/>
    <n v="2020"/>
    <n v="12.1"/>
    <n v="36"/>
  </r>
  <r>
    <x v="251"/>
    <x v="4"/>
    <x v="8"/>
    <x v="4"/>
    <n v="227"/>
    <d v="2021-01-03T00:00:00"/>
    <x v="2"/>
    <s v="Accel"/>
    <n v="2015"/>
    <n v="2092.5"/>
    <n v="3912"/>
  </r>
  <r>
    <x v="252"/>
    <x v="4"/>
    <x v="1"/>
    <x v="2"/>
    <n v="20"/>
    <d v="2021-01-16T00:00:00"/>
    <x v="2"/>
    <s v="SoftBank"/>
    <n v="2016"/>
    <n v="95.4"/>
    <n v="177"/>
  </r>
  <r>
    <x v="253"/>
    <x v="0"/>
    <x v="1"/>
    <x v="3"/>
    <n v="1.1000000000000001"/>
    <d v="2021-01-17T00:00:00"/>
    <x v="2"/>
    <s v="Chiratae Ventures"/>
    <n v="2014"/>
    <n v="5.2"/>
    <n v="11"/>
  </r>
  <r>
    <x v="254"/>
    <x v="3"/>
    <x v="2"/>
    <x v="3"/>
    <n v="4.2"/>
    <d v="2021-01-17T00:00:00"/>
    <x v="2"/>
    <s v="Kalaari Capital"/>
    <n v="2012"/>
    <n v="31.9"/>
    <n v="95"/>
  </r>
  <r>
    <x v="255"/>
    <x v="0"/>
    <x v="5"/>
    <x v="1"/>
    <n v="63.2"/>
    <d v="2021-01-19T00:00:00"/>
    <x v="2"/>
    <s v="Blume Ventures"/>
    <n v="2012"/>
    <n v="539.29999999999995"/>
    <n v="1804"/>
  </r>
  <r>
    <x v="256"/>
    <x v="11"/>
    <x v="4"/>
    <x v="0"/>
    <n v="14.4"/>
    <d v="2021-01-22T00:00:00"/>
    <x v="2"/>
    <s v="Sequoia Capital"/>
    <n v="2018"/>
    <n v="83.7"/>
    <n v="320"/>
  </r>
  <r>
    <x v="257"/>
    <x v="5"/>
    <x v="1"/>
    <x v="3"/>
    <n v="4.5"/>
    <d v="2021-01-29T00:00:00"/>
    <x v="2"/>
    <s v="Peak XV"/>
    <n v="2014"/>
    <n v="34.6"/>
    <n v="117"/>
  </r>
  <r>
    <x v="258"/>
    <x v="1"/>
    <x v="6"/>
    <x v="3"/>
    <n v="2.7"/>
    <d v="2021-01-30T00:00:00"/>
    <x v="2"/>
    <s v="SoftBank"/>
    <n v="2015"/>
    <n v="13.7"/>
    <n v="51"/>
  </r>
  <r>
    <x v="259"/>
    <x v="5"/>
    <x v="0"/>
    <x v="4"/>
    <n v="157.9"/>
    <d v="2021-02-08T00:00:00"/>
    <x v="2"/>
    <s v="Tiger Global"/>
    <n v="2020"/>
    <n v="1238.2"/>
    <n v="4557"/>
  </r>
  <r>
    <x v="260"/>
    <x v="1"/>
    <x v="0"/>
    <x v="3"/>
    <n v="1.3"/>
    <d v="2021-02-10T00:00:00"/>
    <x v="2"/>
    <s v="Peak XV"/>
    <n v="2017"/>
    <n v="5.9"/>
    <n v="12"/>
  </r>
  <r>
    <x v="261"/>
    <x v="2"/>
    <x v="4"/>
    <x v="1"/>
    <n v="95.2"/>
    <d v="2021-02-10T00:00:00"/>
    <x v="2"/>
    <s v="Kalaari Capital"/>
    <n v="2021"/>
    <n v="497.7"/>
    <n v="1111"/>
  </r>
  <r>
    <x v="262"/>
    <x v="1"/>
    <x v="2"/>
    <x v="0"/>
    <n v="9.6"/>
    <d v="2021-02-13T00:00:00"/>
    <x v="2"/>
    <s v="SoftBank"/>
    <n v="2015"/>
    <n v="41.9"/>
    <n v="81"/>
  </r>
  <r>
    <x v="263"/>
    <x v="10"/>
    <x v="0"/>
    <x v="4"/>
    <n v="121.5"/>
    <d v="2021-02-16T00:00:00"/>
    <x v="2"/>
    <s v="Sequoia Capital"/>
    <n v="2021"/>
    <n v="1070.0999999999999"/>
    <n v="2616"/>
  </r>
  <r>
    <x v="264"/>
    <x v="6"/>
    <x v="0"/>
    <x v="0"/>
    <n v="9.1999999999999993"/>
    <d v="2021-02-18T00:00:00"/>
    <x v="2"/>
    <s v="Elevation Capital"/>
    <n v="2014"/>
    <n v="64.5"/>
    <n v="245"/>
  </r>
  <r>
    <x v="265"/>
    <x v="3"/>
    <x v="1"/>
    <x v="3"/>
    <n v="1.7"/>
    <d v="2021-02-20T00:00:00"/>
    <x v="2"/>
    <s v="Peak XV"/>
    <n v="2013"/>
    <n v="9.6"/>
    <n v="25"/>
  </r>
  <r>
    <x v="266"/>
    <x v="2"/>
    <x v="1"/>
    <x v="3"/>
    <n v="3.5"/>
    <d v="2021-02-23T00:00:00"/>
    <x v="2"/>
    <s v="Lightspeed"/>
    <n v="2021"/>
    <n v="21.7"/>
    <n v="68"/>
  </r>
  <r>
    <x v="267"/>
    <x v="3"/>
    <x v="2"/>
    <x v="0"/>
    <n v="8.1"/>
    <d v="2021-02-26T00:00:00"/>
    <x v="2"/>
    <s v="Lightspeed"/>
    <n v="2015"/>
    <n v="43.8"/>
    <n v="173"/>
  </r>
  <r>
    <x v="268"/>
    <x v="7"/>
    <x v="6"/>
    <x v="0"/>
    <n v="14.6"/>
    <d v="2021-02-28T00:00:00"/>
    <x v="2"/>
    <s v="Nexus Venture"/>
    <n v="2020"/>
    <n v="112.3"/>
    <n v="225"/>
  </r>
  <r>
    <x v="269"/>
    <x v="8"/>
    <x v="8"/>
    <x v="0"/>
    <n v="4.9000000000000004"/>
    <d v="2021-03-02T00:00:00"/>
    <x v="2"/>
    <s v="Nexus Venture"/>
    <n v="2019"/>
    <n v="31.3"/>
    <n v="103"/>
  </r>
  <r>
    <x v="270"/>
    <x v="4"/>
    <x v="2"/>
    <x v="2"/>
    <n v="30.2"/>
    <d v="2021-03-02T00:00:00"/>
    <x v="2"/>
    <s v="Accel"/>
    <n v="2021"/>
    <n v="202.6"/>
    <n v="304"/>
  </r>
  <r>
    <x v="271"/>
    <x v="4"/>
    <x v="6"/>
    <x v="4"/>
    <n v="276.2"/>
    <d v="2021-03-04T00:00:00"/>
    <x v="2"/>
    <s v="Y Combinator"/>
    <n v="2014"/>
    <n v="3061.6"/>
    <n v="8357"/>
  </r>
  <r>
    <x v="272"/>
    <x v="5"/>
    <x v="1"/>
    <x v="3"/>
    <n v="3.4"/>
    <d v="2021-03-06T00:00:00"/>
    <x v="2"/>
    <s v="Nexus Venture"/>
    <n v="2013"/>
    <n v="21.1"/>
    <n v="77"/>
  </r>
  <r>
    <x v="273"/>
    <x v="3"/>
    <x v="1"/>
    <x v="3"/>
    <n v="3.2"/>
    <d v="2021-03-16T00:00:00"/>
    <x v="2"/>
    <s v="Nexus Venture"/>
    <n v="2021"/>
    <n v="14.8"/>
    <n v="25"/>
  </r>
  <r>
    <x v="274"/>
    <x v="6"/>
    <x v="0"/>
    <x v="2"/>
    <n v="49.4"/>
    <d v="2021-03-23T00:00:00"/>
    <x v="2"/>
    <s v="SoftBank"/>
    <n v="2013"/>
    <n v="306.2"/>
    <n v="713"/>
  </r>
  <r>
    <x v="275"/>
    <x v="5"/>
    <x v="0"/>
    <x v="3"/>
    <n v="2.8"/>
    <d v="2021-03-31T00:00:00"/>
    <x v="2"/>
    <s v="Chiratae Ventures"/>
    <n v="2015"/>
    <n v="16.399999999999999"/>
    <n v="26"/>
  </r>
  <r>
    <x v="276"/>
    <x v="2"/>
    <x v="4"/>
    <x v="1"/>
    <n v="83.2"/>
    <d v="2021-04-02T00:00:00"/>
    <x v="2"/>
    <s v="Chiratae Ventures"/>
    <n v="2012"/>
    <n v="605.79999999999995"/>
    <n v="996"/>
  </r>
  <r>
    <x v="277"/>
    <x v="11"/>
    <x v="4"/>
    <x v="3"/>
    <n v="2.6"/>
    <d v="2021-04-07T00:00:00"/>
    <x v="2"/>
    <s v="Lightspeed"/>
    <n v="2016"/>
    <n v="21.6"/>
    <n v="85"/>
  </r>
  <r>
    <x v="278"/>
    <x v="1"/>
    <x v="0"/>
    <x v="0"/>
    <n v="9.9"/>
    <d v="2021-04-07T00:00:00"/>
    <x v="2"/>
    <s v="Elevation Capital"/>
    <n v="2014"/>
    <n v="37"/>
    <n v="105"/>
  </r>
  <r>
    <x v="279"/>
    <x v="2"/>
    <x v="4"/>
    <x v="0"/>
    <n v="12.3"/>
    <d v="2021-04-09T00:00:00"/>
    <x v="2"/>
    <s v="Sequoia Capital"/>
    <n v="2015"/>
    <n v="61.6"/>
    <n v="94"/>
  </r>
  <r>
    <x v="280"/>
    <x v="1"/>
    <x v="4"/>
    <x v="2"/>
    <n v="33.4"/>
    <d v="2021-04-18T00:00:00"/>
    <x v="2"/>
    <s v="Sequoia Capital"/>
    <n v="2016"/>
    <n v="266.5"/>
    <n v="998"/>
  </r>
  <r>
    <x v="281"/>
    <x v="9"/>
    <x v="1"/>
    <x v="2"/>
    <n v="50.8"/>
    <d v="2021-04-23T00:00:00"/>
    <x v="2"/>
    <s v="Matrix Partners"/>
    <n v="2016"/>
    <n v="300.10000000000002"/>
    <n v="898"/>
  </r>
  <r>
    <x v="282"/>
    <x v="3"/>
    <x v="4"/>
    <x v="4"/>
    <n v="248.1"/>
    <d v="2021-05-01T00:00:00"/>
    <x v="2"/>
    <s v="Elevation Capital"/>
    <n v="2021"/>
    <n v="1803.7"/>
    <n v="5566"/>
  </r>
  <r>
    <x v="283"/>
    <x v="6"/>
    <x v="1"/>
    <x v="2"/>
    <n v="14.3"/>
    <d v="2021-05-05T00:00:00"/>
    <x v="2"/>
    <s v="Sequoia Capital"/>
    <n v="2019"/>
    <n v="60.5"/>
    <n v="142"/>
  </r>
  <r>
    <x v="284"/>
    <x v="7"/>
    <x v="1"/>
    <x v="2"/>
    <n v="35.299999999999997"/>
    <d v="2021-05-08T00:00:00"/>
    <x v="2"/>
    <s v="Chiratae Ventures"/>
    <n v="2014"/>
    <n v="156.80000000000001"/>
    <n v="496"/>
  </r>
  <r>
    <x v="285"/>
    <x v="1"/>
    <x v="4"/>
    <x v="4"/>
    <n v="152.5"/>
    <d v="2021-05-09T00:00:00"/>
    <x v="2"/>
    <s v="Matrix Partners"/>
    <n v="2017"/>
    <n v="791.6"/>
    <n v="2719"/>
  </r>
  <r>
    <x v="286"/>
    <x v="3"/>
    <x v="1"/>
    <x v="0"/>
    <n v="15.9"/>
    <d v="2021-05-14T00:00:00"/>
    <x v="2"/>
    <s v="Kalaari Capital"/>
    <n v="2012"/>
    <n v="95.7"/>
    <n v="253"/>
  </r>
  <r>
    <x v="287"/>
    <x v="6"/>
    <x v="5"/>
    <x v="2"/>
    <n v="37.4"/>
    <d v="2021-05-19T00:00:00"/>
    <x v="2"/>
    <s v="Nexus Venture"/>
    <n v="2015"/>
    <n v="179.3"/>
    <n v="675"/>
  </r>
  <r>
    <x v="288"/>
    <x v="1"/>
    <x v="1"/>
    <x v="2"/>
    <n v="39.700000000000003"/>
    <d v="2021-05-22T00:00:00"/>
    <x v="2"/>
    <s v="Accel"/>
    <n v="2015"/>
    <n v="194.2"/>
    <n v="465"/>
  </r>
  <r>
    <x v="289"/>
    <x v="8"/>
    <x v="7"/>
    <x v="3"/>
    <n v="0.6"/>
    <d v="2021-05-26T00:00:00"/>
    <x v="2"/>
    <s v="Blume Ventures"/>
    <n v="2020"/>
    <n v="3.8"/>
    <n v="15"/>
  </r>
  <r>
    <x v="290"/>
    <x v="9"/>
    <x v="0"/>
    <x v="4"/>
    <n v="234.6"/>
    <d v="2021-05-29T00:00:00"/>
    <x v="2"/>
    <s v="SoftBank"/>
    <n v="2017"/>
    <n v="1942.6"/>
    <n v="3498"/>
  </r>
  <r>
    <x v="291"/>
    <x v="4"/>
    <x v="1"/>
    <x v="2"/>
    <n v="37.799999999999997"/>
    <d v="2021-05-30T00:00:00"/>
    <x v="2"/>
    <s v="Accel"/>
    <n v="2021"/>
    <n v="263.8"/>
    <n v="510"/>
  </r>
  <r>
    <x v="292"/>
    <x v="9"/>
    <x v="0"/>
    <x v="0"/>
    <n v="8"/>
    <d v="2021-05-30T00:00:00"/>
    <x v="2"/>
    <s v="Matrix Partners"/>
    <n v="2016"/>
    <n v="32.1"/>
    <n v="89"/>
  </r>
  <r>
    <x v="293"/>
    <x v="4"/>
    <x v="0"/>
    <x v="0"/>
    <n v="12.5"/>
    <d v="2021-06-10T00:00:00"/>
    <x v="2"/>
    <s v="Lightspeed"/>
    <n v="2019"/>
    <n v="60.1"/>
    <n v="167"/>
  </r>
  <r>
    <x v="294"/>
    <x v="2"/>
    <x v="1"/>
    <x v="0"/>
    <n v="6.9"/>
    <d v="2021-06-10T00:00:00"/>
    <x v="2"/>
    <s v="3one4 Capital"/>
    <n v="2015"/>
    <n v="31.7"/>
    <n v="108"/>
  </r>
  <r>
    <x v="295"/>
    <x v="6"/>
    <x v="7"/>
    <x v="3"/>
    <n v="3.4"/>
    <d v="2021-06-13T00:00:00"/>
    <x v="2"/>
    <s v="Peak XV"/>
    <n v="2012"/>
    <n v="22.7"/>
    <n v="77"/>
  </r>
  <r>
    <x v="296"/>
    <x v="1"/>
    <x v="0"/>
    <x v="2"/>
    <n v="21.7"/>
    <d v="2021-06-16T00:00:00"/>
    <x v="2"/>
    <s v="3one4 Capital"/>
    <n v="2018"/>
    <n v="159.30000000000001"/>
    <n v="334"/>
  </r>
  <r>
    <x v="297"/>
    <x v="10"/>
    <x v="4"/>
    <x v="3"/>
    <n v="1.3"/>
    <d v="2021-06-27T00:00:00"/>
    <x v="2"/>
    <s v="Peak XV"/>
    <n v="2017"/>
    <n v="5.6"/>
    <n v="12"/>
  </r>
  <r>
    <x v="298"/>
    <x v="2"/>
    <x v="4"/>
    <x v="3"/>
    <n v="3"/>
    <d v="2021-06-28T00:00:00"/>
    <x v="2"/>
    <s v="SoftBank"/>
    <n v="2021"/>
    <n v="19.2"/>
    <n v="69"/>
  </r>
  <r>
    <x v="299"/>
    <x v="7"/>
    <x v="1"/>
    <x v="0"/>
    <n v="10.4"/>
    <d v="2021-06-29T00:00:00"/>
    <x v="2"/>
    <s v="Matrix Partners"/>
    <n v="2021"/>
    <n v="73.900000000000006"/>
    <n v="151"/>
  </r>
  <r>
    <x v="300"/>
    <x v="3"/>
    <x v="1"/>
    <x v="0"/>
    <n v="6.7"/>
    <d v="2021-06-30T00:00:00"/>
    <x v="2"/>
    <s v="Accel"/>
    <n v="2012"/>
    <n v="35.5"/>
    <n v="114"/>
  </r>
  <r>
    <x v="301"/>
    <x v="4"/>
    <x v="2"/>
    <x v="0"/>
    <n v="14"/>
    <d v="2021-07-01T00:00:00"/>
    <x v="2"/>
    <s v="Y Combinator"/>
    <n v="2020"/>
    <n v="83.1"/>
    <n v="229"/>
  </r>
  <r>
    <x v="302"/>
    <x v="4"/>
    <x v="2"/>
    <x v="1"/>
    <n v="83.2"/>
    <d v="2021-07-02T00:00:00"/>
    <x v="2"/>
    <s v="Sequoia Capital"/>
    <n v="2014"/>
    <n v="779.4"/>
    <n v="1693"/>
  </r>
  <r>
    <x v="303"/>
    <x v="2"/>
    <x v="7"/>
    <x v="3"/>
    <n v="4.4000000000000004"/>
    <d v="2021-07-02T00:00:00"/>
    <x v="2"/>
    <s v="Y Combinator"/>
    <n v="2016"/>
    <n v="18.8"/>
    <n v="45"/>
  </r>
  <r>
    <x v="304"/>
    <x v="4"/>
    <x v="1"/>
    <x v="4"/>
    <n v="193.2"/>
    <d v="2021-07-03T00:00:00"/>
    <x v="2"/>
    <s v="Elevation Capital"/>
    <n v="2012"/>
    <n v="1025.5999999999999"/>
    <n v="1576"/>
  </r>
  <r>
    <x v="305"/>
    <x v="3"/>
    <x v="2"/>
    <x v="4"/>
    <n v="141.69999999999999"/>
    <d v="2021-07-06T00:00:00"/>
    <x v="2"/>
    <s v="Accel"/>
    <n v="2013"/>
    <n v="938"/>
    <n v="1822"/>
  </r>
  <r>
    <x v="306"/>
    <x v="0"/>
    <x v="1"/>
    <x v="3"/>
    <n v="1.2"/>
    <d v="2021-07-10T00:00:00"/>
    <x v="2"/>
    <s v="Peak XV"/>
    <n v="2018"/>
    <n v="7.2"/>
    <n v="13"/>
  </r>
  <r>
    <x v="307"/>
    <x v="5"/>
    <x v="8"/>
    <x v="2"/>
    <n v="22.1"/>
    <d v="2021-07-13T00:00:00"/>
    <x v="2"/>
    <s v="Info Edge"/>
    <n v="2013"/>
    <n v="108"/>
    <n v="193"/>
  </r>
  <r>
    <x v="308"/>
    <x v="0"/>
    <x v="7"/>
    <x v="3"/>
    <n v="1.5"/>
    <d v="2021-07-17T00:00:00"/>
    <x v="2"/>
    <s v="Y Combinator"/>
    <n v="2015"/>
    <n v="10.5"/>
    <n v="25"/>
  </r>
  <r>
    <x v="309"/>
    <x v="4"/>
    <x v="1"/>
    <x v="1"/>
    <n v="95.8"/>
    <d v="2021-07-19T00:00:00"/>
    <x v="2"/>
    <s v="3one4 Capital"/>
    <n v="2017"/>
    <n v="438.9"/>
    <n v="732"/>
  </r>
  <r>
    <x v="310"/>
    <x v="6"/>
    <x v="6"/>
    <x v="4"/>
    <n v="385.5"/>
    <d v="2021-07-23T00:00:00"/>
    <x v="2"/>
    <s v="Y Combinator"/>
    <n v="2021"/>
    <n v="2306.6"/>
    <n v="5459"/>
  </r>
  <r>
    <x v="311"/>
    <x v="5"/>
    <x v="0"/>
    <x v="0"/>
    <n v="14.1"/>
    <d v="2021-07-25T00:00:00"/>
    <x v="2"/>
    <s v="Matrix Partners"/>
    <n v="2021"/>
    <n v="103.4"/>
    <n v="330"/>
  </r>
  <r>
    <x v="312"/>
    <x v="0"/>
    <x v="2"/>
    <x v="0"/>
    <n v="6.2"/>
    <d v="2021-07-28T00:00:00"/>
    <x v="2"/>
    <s v="SoftBank"/>
    <n v="2016"/>
    <n v="43.9"/>
    <n v="153"/>
  </r>
  <r>
    <x v="313"/>
    <x v="5"/>
    <x v="0"/>
    <x v="1"/>
    <n v="130.4"/>
    <d v="2021-07-29T00:00:00"/>
    <x v="2"/>
    <s v="Tiger Global"/>
    <n v="2018"/>
    <n v="1204"/>
    <n v="2964"/>
  </r>
  <r>
    <x v="314"/>
    <x v="3"/>
    <x v="2"/>
    <x v="1"/>
    <n v="139.1"/>
    <d v="2021-07-30T00:00:00"/>
    <x v="2"/>
    <s v="Matrix Partners"/>
    <n v="2013"/>
    <n v="607.6"/>
    <n v="1113"/>
  </r>
  <r>
    <x v="315"/>
    <x v="3"/>
    <x v="1"/>
    <x v="4"/>
    <n v="207.3"/>
    <d v="2021-08-03T00:00:00"/>
    <x v="2"/>
    <s v="SoftBank"/>
    <n v="2019"/>
    <n v="1305"/>
    <n v="4438"/>
  </r>
  <r>
    <x v="316"/>
    <x v="11"/>
    <x v="1"/>
    <x v="3"/>
    <n v="3"/>
    <d v="2021-08-05T00:00:00"/>
    <x v="2"/>
    <s v="Info Edge"/>
    <n v="2017"/>
    <n v="15.9"/>
    <n v="54"/>
  </r>
  <r>
    <x v="317"/>
    <x v="9"/>
    <x v="4"/>
    <x v="3"/>
    <n v="0.7"/>
    <d v="2021-08-07T00:00:00"/>
    <x v="2"/>
    <s v="Lightspeed"/>
    <n v="2016"/>
    <n v="3.3"/>
    <n v="10"/>
  </r>
  <r>
    <x v="318"/>
    <x v="7"/>
    <x v="1"/>
    <x v="0"/>
    <n v="4.7"/>
    <d v="2021-08-09T00:00:00"/>
    <x v="2"/>
    <s v="Elevation Capital"/>
    <n v="2015"/>
    <n v="24.9"/>
    <n v="39"/>
  </r>
  <r>
    <x v="319"/>
    <x v="6"/>
    <x v="1"/>
    <x v="0"/>
    <n v="12.4"/>
    <d v="2021-08-22T00:00:00"/>
    <x v="2"/>
    <s v="Blume Ventures"/>
    <n v="2021"/>
    <n v="67.5"/>
    <n v="137"/>
  </r>
  <r>
    <x v="320"/>
    <x v="5"/>
    <x v="4"/>
    <x v="3"/>
    <n v="2.9"/>
    <d v="2021-08-26T00:00:00"/>
    <x v="2"/>
    <s v="Chiratae Ventures"/>
    <n v="2018"/>
    <n v="17.899999999999999"/>
    <n v="50"/>
  </r>
  <r>
    <x v="321"/>
    <x v="4"/>
    <x v="1"/>
    <x v="3"/>
    <n v="0.6"/>
    <d v="2021-08-27T00:00:00"/>
    <x v="2"/>
    <s v="Info Edge"/>
    <n v="2020"/>
    <n v="4.8"/>
    <n v="15"/>
  </r>
  <r>
    <x v="322"/>
    <x v="4"/>
    <x v="7"/>
    <x v="1"/>
    <n v="112.7"/>
    <d v="2021-08-28T00:00:00"/>
    <x v="2"/>
    <s v="SoftBank"/>
    <n v="2020"/>
    <n v="628.9"/>
    <n v="1755"/>
  </r>
  <r>
    <x v="323"/>
    <x v="5"/>
    <x v="4"/>
    <x v="0"/>
    <n v="9.1"/>
    <d v="2021-08-29T00:00:00"/>
    <x v="2"/>
    <s v="Chiratae Ventures"/>
    <n v="2018"/>
    <n v="33.299999999999997"/>
    <n v="105"/>
  </r>
  <r>
    <x v="324"/>
    <x v="3"/>
    <x v="5"/>
    <x v="3"/>
    <n v="1.8"/>
    <d v="2021-08-30T00:00:00"/>
    <x v="2"/>
    <s v="Kalaari Capital"/>
    <n v="2017"/>
    <n v="11.2"/>
    <n v="22"/>
  </r>
  <r>
    <x v="325"/>
    <x v="7"/>
    <x v="1"/>
    <x v="2"/>
    <n v="42"/>
    <d v="2021-09-03T00:00:00"/>
    <x v="2"/>
    <s v="Nexus Venture"/>
    <n v="2019"/>
    <n v="166.4"/>
    <n v="611"/>
  </r>
  <r>
    <x v="326"/>
    <x v="3"/>
    <x v="1"/>
    <x v="0"/>
    <n v="12.4"/>
    <d v="2021-09-03T00:00:00"/>
    <x v="2"/>
    <s v="3one4 Capital"/>
    <n v="2016"/>
    <n v="70.900000000000006"/>
    <n v="117"/>
  </r>
  <r>
    <x v="327"/>
    <x v="6"/>
    <x v="0"/>
    <x v="3"/>
    <n v="3.4"/>
    <d v="2021-09-06T00:00:00"/>
    <x v="2"/>
    <s v="Accel"/>
    <n v="2021"/>
    <n v="23.5"/>
    <n v="93"/>
  </r>
  <r>
    <x v="328"/>
    <x v="11"/>
    <x v="4"/>
    <x v="3"/>
    <n v="2.8"/>
    <d v="2021-09-06T00:00:00"/>
    <x v="2"/>
    <s v="Nexus Venture"/>
    <n v="2016"/>
    <n v="17"/>
    <n v="52"/>
  </r>
  <r>
    <x v="329"/>
    <x v="1"/>
    <x v="8"/>
    <x v="3"/>
    <n v="2.4"/>
    <d v="2021-09-09T00:00:00"/>
    <x v="2"/>
    <s v="Sequoia Capital"/>
    <n v="2020"/>
    <n v="16.600000000000001"/>
    <n v="61"/>
  </r>
  <r>
    <x v="330"/>
    <x v="7"/>
    <x v="4"/>
    <x v="0"/>
    <n v="9.6"/>
    <d v="2021-09-10T00:00:00"/>
    <x v="2"/>
    <s v="Accel"/>
    <n v="2019"/>
    <n v="33.799999999999997"/>
    <n v="69"/>
  </r>
  <r>
    <x v="331"/>
    <x v="5"/>
    <x v="1"/>
    <x v="3"/>
    <n v="1.9"/>
    <d v="2021-09-11T00:00:00"/>
    <x v="2"/>
    <s v="Y Combinator"/>
    <n v="2018"/>
    <n v="10.5"/>
    <n v="31"/>
  </r>
  <r>
    <x v="332"/>
    <x v="2"/>
    <x v="0"/>
    <x v="3"/>
    <n v="2"/>
    <d v="2021-09-16T00:00:00"/>
    <x v="2"/>
    <s v="Chiratae Ventures"/>
    <n v="2021"/>
    <n v="9.5"/>
    <n v="24"/>
  </r>
  <r>
    <x v="333"/>
    <x v="1"/>
    <x v="2"/>
    <x v="0"/>
    <n v="19.100000000000001"/>
    <d v="2021-09-20T00:00:00"/>
    <x v="2"/>
    <s v="Sequoia Capital"/>
    <n v="2017"/>
    <n v="84.4"/>
    <n v="216"/>
  </r>
  <r>
    <x v="334"/>
    <x v="3"/>
    <x v="7"/>
    <x v="3"/>
    <n v="2.6"/>
    <d v="2021-09-20T00:00:00"/>
    <x v="2"/>
    <s v="Lightspeed"/>
    <n v="2013"/>
    <n v="23.7"/>
    <n v="47"/>
  </r>
  <r>
    <x v="335"/>
    <x v="4"/>
    <x v="1"/>
    <x v="4"/>
    <n v="327.10000000000002"/>
    <d v="2021-09-22T00:00:00"/>
    <x v="2"/>
    <s v="Tiger Global"/>
    <n v="2014"/>
    <n v="1660.3"/>
    <n v="5129"/>
  </r>
  <r>
    <x v="336"/>
    <x v="3"/>
    <x v="1"/>
    <x v="0"/>
    <n v="9.1"/>
    <d v="2021-09-23T00:00:00"/>
    <x v="2"/>
    <s v="SoftBank"/>
    <n v="2021"/>
    <n v="51.9"/>
    <n v="105"/>
  </r>
  <r>
    <x v="337"/>
    <x v="4"/>
    <x v="0"/>
    <x v="1"/>
    <n v="48.4"/>
    <d v="2021-09-24T00:00:00"/>
    <x v="2"/>
    <s v="Y Combinator"/>
    <n v="2014"/>
    <n v="321.10000000000002"/>
    <n v="532"/>
  </r>
  <r>
    <x v="338"/>
    <x v="1"/>
    <x v="4"/>
    <x v="2"/>
    <n v="37.4"/>
    <d v="2021-09-25T00:00:00"/>
    <x v="2"/>
    <s v="SoftBank"/>
    <n v="2019"/>
    <n v="241.7"/>
    <n v="716"/>
  </r>
  <r>
    <x v="339"/>
    <x v="1"/>
    <x v="4"/>
    <x v="0"/>
    <n v="7.3"/>
    <d v="2021-09-26T00:00:00"/>
    <x v="2"/>
    <s v="Lightspeed"/>
    <n v="2013"/>
    <n v="44.4"/>
    <n v="124"/>
  </r>
  <r>
    <x v="340"/>
    <x v="5"/>
    <x v="3"/>
    <x v="0"/>
    <n v="5.5"/>
    <d v="2021-09-26T00:00:00"/>
    <x v="2"/>
    <s v="Elevation Capital"/>
    <n v="2013"/>
    <n v="23.6"/>
    <n v="68"/>
  </r>
  <r>
    <x v="341"/>
    <x v="6"/>
    <x v="4"/>
    <x v="2"/>
    <n v="25.2"/>
    <d v="2021-10-11T00:00:00"/>
    <x v="2"/>
    <s v="Nexus Venture"/>
    <n v="2014"/>
    <n v="186.4"/>
    <n v="727"/>
  </r>
  <r>
    <x v="342"/>
    <x v="4"/>
    <x v="0"/>
    <x v="0"/>
    <n v="9.5"/>
    <d v="2021-10-13T00:00:00"/>
    <x v="2"/>
    <s v="Matrix Partners"/>
    <n v="2020"/>
    <n v="66.400000000000006"/>
    <n v="114"/>
  </r>
  <r>
    <x v="343"/>
    <x v="4"/>
    <x v="4"/>
    <x v="0"/>
    <n v="9.3000000000000007"/>
    <d v="2021-10-16T00:00:00"/>
    <x v="2"/>
    <s v="3one4 Capital"/>
    <n v="2020"/>
    <n v="55.3"/>
    <n v="158"/>
  </r>
  <r>
    <x v="344"/>
    <x v="5"/>
    <x v="1"/>
    <x v="1"/>
    <n v="85.4"/>
    <d v="2021-10-17T00:00:00"/>
    <x v="2"/>
    <s v="Y Combinator"/>
    <n v="2013"/>
    <n v="672.3"/>
    <n v="2611"/>
  </r>
  <r>
    <x v="345"/>
    <x v="1"/>
    <x v="1"/>
    <x v="1"/>
    <n v="61.7"/>
    <d v="2021-10-21T00:00:00"/>
    <x v="2"/>
    <s v="Accel"/>
    <n v="2016"/>
    <n v="563.20000000000005"/>
    <n v="1156"/>
  </r>
  <r>
    <x v="346"/>
    <x v="7"/>
    <x v="0"/>
    <x v="2"/>
    <n v="19.600000000000001"/>
    <d v="2021-10-22T00:00:00"/>
    <x v="2"/>
    <s v="Peak XV"/>
    <n v="2012"/>
    <n v="70"/>
    <n v="233"/>
  </r>
  <r>
    <x v="347"/>
    <x v="10"/>
    <x v="6"/>
    <x v="2"/>
    <n v="52.1"/>
    <d v="2021-10-22T00:00:00"/>
    <x v="2"/>
    <s v="Sequoia Capital"/>
    <n v="2020"/>
    <n v="416.2"/>
    <n v="1416"/>
  </r>
  <r>
    <x v="348"/>
    <x v="4"/>
    <x v="6"/>
    <x v="3"/>
    <n v="1.8"/>
    <d v="2021-10-24T00:00:00"/>
    <x v="2"/>
    <s v="Matrix Partners"/>
    <n v="2017"/>
    <n v="14.1"/>
    <n v="55"/>
  </r>
  <r>
    <x v="349"/>
    <x v="7"/>
    <x v="4"/>
    <x v="3"/>
    <n v="3.7"/>
    <d v="2021-10-26T00:00:00"/>
    <x v="2"/>
    <s v="Matrix Partners"/>
    <n v="2015"/>
    <n v="17.100000000000001"/>
    <n v="57"/>
  </r>
  <r>
    <x v="350"/>
    <x v="3"/>
    <x v="7"/>
    <x v="3"/>
    <n v="2.2999999999999998"/>
    <d v="2021-10-27T00:00:00"/>
    <x v="2"/>
    <s v="Lightspeed"/>
    <n v="2020"/>
    <n v="10.3"/>
    <n v="22"/>
  </r>
  <r>
    <x v="351"/>
    <x v="1"/>
    <x v="1"/>
    <x v="0"/>
    <n v="14"/>
    <d v="2021-11-22T00:00:00"/>
    <x v="2"/>
    <s v="Tiger Global"/>
    <n v="2021"/>
    <n v="92.5"/>
    <n v="193"/>
  </r>
  <r>
    <x v="352"/>
    <x v="3"/>
    <x v="1"/>
    <x v="2"/>
    <n v="23.8"/>
    <d v="2021-11-30T00:00:00"/>
    <x v="2"/>
    <s v="Elevation Capital"/>
    <n v="2013"/>
    <n v="106"/>
    <n v="377"/>
  </r>
  <r>
    <x v="353"/>
    <x v="11"/>
    <x v="7"/>
    <x v="0"/>
    <n v="7.9"/>
    <d v="2021-12-05T00:00:00"/>
    <x v="2"/>
    <s v="Nexus Venture"/>
    <n v="2014"/>
    <n v="47.1"/>
    <n v="184"/>
  </r>
  <r>
    <x v="354"/>
    <x v="7"/>
    <x v="3"/>
    <x v="3"/>
    <n v="3.1"/>
    <d v="2021-12-10T00:00:00"/>
    <x v="2"/>
    <s v="Nexus Venture"/>
    <n v="2013"/>
    <n v="18.3"/>
    <n v="39"/>
  </r>
  <r>
    <x v="355"/>
    <x v="0"/>
    <x v="2"/>
    <x v="4"/>
    <n v="312.60000000000002"/>
    <d v="2021-12-10T00:00:00"/>
    <x v="2"/>
    <s v="Y Combinator"/>
    <n v="2021"/>
    <n v="2195.1"/>
    <n v="6440"/>
  </r>
  <r>
    <x v="356"/>
    <x v="9"/>
    <x v="7"/>
    <x v="3"/>
    <n v="3.7"/>
    <d v="2021-12-11T00:00:00"/>
    <x v="2"/>
    <s v="Lightspeed"/>
    <n v="2015"/>
    <n v="30.2"/>
    <n v="108"/>
  </r>
  <r>
    <x v="357"/>
    <x v="3"/>
    <x v="1"/>
    <x v="0"/>
    <n v="4.4000000000000004"/>
    <d v="2021-12-20T00:00:00"/>
    <x v="2"/>
    <s v="Lightspeed"/>
    <n v="2021"/>
    <n v="17.100000000000001"/>
    <n v="29"/>
  </r>
  <r>
    <x v="358"/>
    <x v="1"/>
    <x v="4"/>
    <x v="0"/>
    <n v="16.5"/>
    <d v="2021-12-22T00:00:00"/>
    <x v="2"/>
    <s v="Info Edge"/>
    <n v="2016"/>
    <n v="105.4"/>
    <n v="412"/>
  </r>
  <r>
    <x v="359"/>
    <x v="9"/>
    <x v="1"/>
    <x v="2"/>
    <n v="19.2"/>
    <d v="2021-12-23T00:00:00"/>
    <x v="2"/>
    <s v="3one4 Capital"/>
    <n v="2015"/>
    <n v="130.19999999999999"/>
    <n v="262"/>
  </r>
  <r>
    <x v="360"/>
    <x v="8"/>
    <x v="1"/>
    <x v="3"/>
    <n v="3.3"/>
    <d v="2021-12-30T00:00:00"/>
    <x v="2"/>
    <s v="Nexus Venture"/>
    <n v="2012"/>
    <n v="19.7"/>
    <n v="31"/>
  </r>
  <r>
    <x v="361"/>
    <x v="4"/>
    <x v="2"/>
    <x v="2"/>
    <n v="33.9"/>
    <d v="2021-12-30T00:00:00"/>
    <x v="2"/>
    <s v="Matrix Partners"/>
    <n v="2020"/>
    <n v="190.1"/>
    <n v="421"/>
  </r>
  <r>
    <x v="362"/>
    <x v="0"/>
    <x v="4"/>
    <x v="2"/>
    <n v="29.1"/>
    <d v="2021-12-31T00:00:00"/>
    <x v="2"/>
    <s v="Sequoia Capital"/>
    <n v="2018"/>
    <n v="191.9"/>
    <n v="759"/>
  </r>
  <r>
    <x v="363"/>
    <x v="1"/>
    <x v="1"/>
    <x v="1"/>
    <n v="86"/>
    <d v="2022-01-02T00:00:00"/>
    <x v="3"/>
    <s v="Nexus Venture"/>
    <n v="2015"/>
    <n v="688.3"/>
    <n v="1408"/>
  </r>
  <r>
    <x v="364"/>
    <x v="1"/>
    <x v="4"/>
    <x v="3"/>
    <n v="3.4"/>
    <d v="2022-01-04T00:00:00"/>
    <x v="3"/>
    <s v="Tiger Global"/>
    <n v="2013"/>
    <n v="22.8"/>
    <n v="64"/>
  </r>
  <r>
    <x v="365"/>
    <x v="4"/>
    <x v="6"/>
    <x v="0"/>
    <n v="4.9000000000000004"/>
    <d v="2022-01-05T00:00:00"/>
    <x v="3"/>
    <s v="Elevation Capital"/>
    <n v="2019"/>
    <n v="38.299999999999997"/>
    <n v="96"/>
  </r>
  <r>
    <x v="366"/>
    <x v="0"/>
    <x v="4"/>
    <x v="0"/>
    <n v="12"/>
    <d v="2022-01-06T00:00:00"/>
    <x v="3"/>
    <s v="Elevation Capital"/>
    <n v="2021"/>
    <n v="42.4"/>
    <n v="124"/>
  </r>
  <r>
    <x v="367"/>
    <x v="2"/>
    <x v="0"/>
    <x v="4"/>
    <n v="216.8"/>
    <d v="2022-01-16T00:00:00"/>
    <x v="3"/>
    <s v="Matrix Partners"/>
    <n v="2014"/>
    <n v="1318.6"/>
    <n v="5004"/>
  </r>
  <r>
    <x v="368"/>
    <x v="3"/>
    <x v="1"/>
    <x v="0"/>
    <n v="10.8"/>
    <d v="2022-01-26T00:00:00"/>
    <x v="3"/>
    <s v="Lightspeed"/>
    <n v="2016"/>
    <n v="52.4"/>
    <n v="104"/>
  </r>
  <r>
    <x v="369"/>
    <x v="1"/>
    <x v="0"/>
    <x v="3"/>
    <n v="4.8"/>
    <d v="2022-01-26T00:00:00"/>
    <x v="3"/>
    <s v="Nexus Venture"/>
    <n v="2021"/>
    <n v="45.6"/>
    <n v="170"/>
  </r>
  <r>
    <x v="370"/>
    <x v="1"/>
    <x v="4"/>
    <x v="3"/>
    <n v="1.9"/>
    <d v="2022-01-27T00:00:00"/>
    <x v="3"/>
    <s v="Accel"/>
    <n v="2016"/>
    <n v="15.8"/>
    <n v="48"/>
  </r>
  <r>
    <x v="371"/>
    <x v="3"/>
    <x v="4"/>
    <x v="3"/>
    <n v="1.4"/>
    <d v="2022-01-27T00:00:00"/>
    <x v="3"/>
    <s v="SoftBank"/>
    <n v="2018"/>
    <n v="11.8"/>
    <n v="30"/>
  </r>
  <r>
    <x v="372"/>
    <x v="9"/>
    <x v="1"/>
    <x v="4"/>
    <n v="187.4"/>
    <d v="2022-02-05T00:00:00"/>
    <x v="3"/>
    <s v="Nexus Venture"/>
    <n v="2017"/>
    <n v="1098.5"/>
    <n v="3073"/>
  </r>
  <r>
    <x v="373"/>
    <x v="1"/>
    <x v="0"/>
    <x v="2"/>
    <n v="49.4"/>
    <d v="2022-02-07T00:00:00"/>
    <x v="3"/>
    <s v="Tiger Global"/>
    <n v="2012"/>
    <n v="357.6"/>
    <n v="723"/>
  </r>
  <r>
    <x v="374"/>
    <x v="6"/>
    <x v="4"/>
    <x v="1"/>
    <n v="138.4"/>
    <d v="2022-02-14T00:00:00"/>
    <x v="3"/>
    <s v="Tiger Global"/>
    <n v="2018"/>
    <n v="1318.5"/>
    <n v="4228"/>
  </r>
  <r>
    <x v="375"/>
    <x v="1"/>
    <x v="2"/>
    <x v="3"/>
    <n v="2.7"/>
    <d v="2022-02-15T00:00:00"/>
    <x v="3"/>
    <s v="Blume Ventures"/>
    <n v="2017"/>
    <n v="20.7"/>
    <n v="76"/>
  </r>
  <r>
    <x v="376"/>
    <x v="0"/>
    <x v="7"/>
    <x v="0"/>
    <n v="5.2"/>
    <d v="2022-02-24T00:00:00"/>
    <x v="3"/>
    <s v="3one4 Capital"/>
    <n v="2015"/>
    <n v="38.9"/>
    <n v="103"/>
  </r>
  <r>
    <x v="377"/>
    <x v="3"/>
    <x v="2"/>
    <x v="0"/>
    <n v="6.2"/>
    <d v="2022-02-25T00:00:00"/>
    <x v="3"/>
    <s v="Chiratae Ventures"/>
    <n v="2016"/>
    <n v="42.5"/>
    <n v="152"/>
  </r>
  <r>
    <x v="378"/>
    <x v="6"/>
    <x v="1"/>
    <x v="3"/>
    <n v="2.2999999999999998"/>
    <d v="2022-03-02T00:00:00"/>
    <x v="3"/>
    <s v="Lightspeed"/>
    <n v="2015"/>
    <n v="20.399999999999999"/>
    <n v="63"/>
  </r>
  <r>
    <x v="379"/>
    <x v="1"/>
    <x v="0"/>
    <x v="0"/>
    <n v="9.1"/>
    <d v="2022-03-09T00:00:00"/>
    <x v="3"/>
    <s v="Kalaari Capital"/>
    <n v="2013"/>
    <n v="70.5"/>
    <n v="107"/>
  </r>
  <r>
    <x v="380"/>
    <x v="3"/>
    <x v="0"/>
    <x v="3"/>
    <n v="1"/>
    <d v="2022-03-10T00:00:00"/>
    <x v="3"/>
    <s v="Info Edge"/>
    <n v="2019"/>
    <n v="7.6"/>
    <n v="22"/>
  </r>
  <r>
    <x v="381"/>
    <x v="6"/>
    <x v="7"/>
    <x v="2"/>
    <n v="28.6"/>
    <d v="2022-03-10T00:00:00"/>
    <x v="3"/>
    <s v="Peak XV"/>
    <n v="2013"/>
    <n v="222.9"/>
    <n v="665"/>
  </r>
  <r>
    <x v="382"/>
    <x v="3"/>
    <x v="0"/>
    <x v="2"/>
    <n v="35.1"/>
    <d v="2022-03-10T00:00:00"/>
    <x v="3"/>
    <s v="Kalaari Capital"/>
    <n v="2014"/>
    <n v="244.9"/>
    <n v="770"/>
  </r>
  <r>
    <x v="383"/>
    <x v="6"/>
    <x v="1"/>
    <x v="3"/>
    <n v="4.4000000000000004"/>
    <d v="2022-03-19T00:00:00"/>
    <x v="3"/>
    <s v="Nexus Venture"/>
    <n v="2014"/>
    <n v="27"/>
    <n v="43"/>
  </r>
  <r>
    <x v="384"/>
    <x v="5"/>
    <x v="5"/>
    <x v="0"/>
    <n v="6"/>
    <d v="2022-03-22T00:00:00"/>
    <x v="3"/>
    <s v="Peak XV"/>
    <n v="2019"/>
    <n v="37.5"/>
    <n v="109"/>
  </r>
  <r>
    <x v="385"/>
    <x v="1"/>
    <x v="4"/>
    <x v="3"/>
    <n v="2.4"/>
    <d v="2022-03-24T00:00:00"/>
    <x v="3"/>
    <s v="Peak XV"/>
    <n v="2021"/>
    <n v="16.3"/>
    <n v="63"/>
  </r>
  <r>
    <x v="386"/>
    <x v="4"/>
    <x v="2"/>
    <x v="2"/>
    <n v="15.4"/>
    <d v="2022-03-25T00:00:00"/>
    <x v="3"/>
    <s v="Blume Ventures"/>
    <n v="2019"/>
    <n v="65"/>
    <n v="209"/>
  </r>
  <r>
    <x v="387"/>
    <x v="7"/>
    <x v="7"/>
    <x v="3"/>
    <n v="3.5"/>
    <d v="2022-03-28T00:00:00"/>
    <x v="3"/>
    <s v="Blume Ventures"/>
    <n v="2016"/>
    <n v="16.3"/>
    <n v="32"/>
  </r>
  <r>
    <x v="388"/>
    <x v="6"/>
    <x v="2"/>
    <x v="4"/>
    <n v="317.10000000000002"/>
    <d v="2022-03-29T00:00:00"/>
    <x v="3"/>
    <s v="3one4 Capital"/>
    <n v="2014"/>
    <n v="3292.7"/>
    <n v="8397"/>
  </r>
  <r>
    <x v="389"/>
    <x v="3"/>
    <x v="0"/>
    <x v="0"/>
    <n v="12.8"/>
    <d v="2022-03-29T00:00:00"/>
    <x v="3"/>
    <s v="Info Edge"/>
    <n v="2017"/>
    <n v="45.9"/>
    <n v="99"/>
  </r>
  <r>
    <x v="390"/>
    <x v="3"/>
    <x v="1"/>
    <x v="1"/>
    <n v="126.1"/>
    <d v="2022-03-31T00:00:00"/>
    <x v="3"/>
    <s v="Elevation Capital"/>
    <n v="2014"/>
    <n v="920.8"/>
    <n v="1430"/>
  </r>
  <r>
    <x v="391"/>
    <x v="9"/>
    <x v="1"/>
    <x v="4"/>
    <n v="211.7"/>
    <d v="2022-04-07T00:00:00"/>
    <x v="3"/>
    <s v="Tiger Global"/>
    <n v="2015"/>
    <n v="1910.7"/>
    <n v="6182"/>
  </r>
  <r>
    <x v="392"/>
    <x v="7"/>
    <x v="4"/>
    <x v="4"/>
    <n v="295.60000000000002"/>
    <d v="2022-04-07T00:00:00"/>
    <x v="3"/>
    <s v="Chiratae Ventures"/>
    <n v="2020"/>
    <n v="1496.5"/>
    <n v="4295"/>
  </r>
  <r>
    <x v="393"/>
    <x v="9"/>
    <x v="4"/>
    <x v="1"/>
    <n v="63.4"/>
    <d v="2022-04-11T00:00:00"/>
    <x v="3"/>
    <s v="Blume Ventures"/>
    <n v="2020"/>
    <n v="486.1"/>
    <n v="1500"/>
  </r>
  <r>
    <x v="394"/>
    <x v="1"/>
    <x v="8"/>
    <x v="1"/>
    <n v="70.900000000000006"/>
    <d v="2022-04-22T00:00:00"/>
    <x v="3"/>
    <s v="Tiger Global"/>
    <n v="2017"/>
    <n v="611.9"/>
    <n v="2432"/>
  </r>
  <r>
    <x v="395"/>
    <x v="3"/>
    <x v="0"/>
    <x v="3"/>
    <n v="2.2000000000000002"/>
    <d v="2022-04-25T00:00:00"/>
    <x v="3"/>
    <s v="Accel"/>
    <n v="2020"/>
    <n v="20.7"/>
    <n v="36"/>
  </r>
  <r>
    <x v="396"/>
    <x v="0"/>
    <x v="0"/>
    <x v="3"/>
    <n v="2.6"/>
    <d v="2022-04-28T00:00:00"/>
    <x v="3"/>
    <s v="Info Edge"/>
    <n v="2020"/>
    <n v="14.5"/>
    <n v="44"/>
  </r>
  <r>
    <x v="397"/>
    <x v="2"/>
    <x v="5"/>
    <x v="3"/>
    <n v="1.6"/>
    <d v="2022-04-28T00:00:00"/>
    <x v="3"/>
    <s v="Blume Ventures"/>
    <n v="2012"/>
    <n v="10"/>
    <n v="33"/>
  </r>
  <r>
    <x v="398"/>
    <x v="7"/>
    <x v="0"/>
    <x v="3"/>
    <n v="0.8"/>
    <d v="2022-04-29T00:00:00"/>
    <x v="3"/>
    <s v="Lightspeed"/>
    <n v="2017"/>
    <n v="6.8"/>
    <n v="14"/>
  </r>
  <r>
    <x v="399"/>
    <x v="6"/>
    <x v="4"/>
    <x v="2"/>
    <n v="30.3"/>
    <d v="2022-05-01T00:00:00"/>
    <x v="3"/>
    <s v="Info Edge"/>
    <n v="2015"/>
    <n v="173.5"/>
    <n v="352"/>
  </r>
  <r>
    <x v="400"/>
    <x v="6"/>
    <x v="1"/>
    <x v="0"/>
    <n v="9.9"/>
    <d v="2022-05-08T00:00:00"/>
    <x v="3"/>
    <s v="Lightspeed"/>
    <n v="2013"/>
    <n v="56.5"/>
    <n v="95"/>
  </r>
  <r>
    <x v="401"/>
    <x v="8"/>
    <x v="7"/>
    <x v="3"/>
    <n v="2.5"/>
    <d v="2022-05-10T00:00:00"/>
    <x v="3"/>
    <s v="Lightspeed"/>
    <n v="2015"/>
    <n v="13.4"/>
    <n v="39"/>
  </r>
  <r>
    <x v="402"/>
    <x v="1"/>
    <x v="4"/>
    <x v="0"/>
    <n v="14.3"/>
    <d v="2022-05-11T00:00:00"/>
    <x v="3"/>
    <s v="Elevation Capital"/>
    <n v="2014"/>
    <n v="107"/>
    <n v="198"/>
  </r>
  <r>
    <x v="403"/>
    <x v="7"/>
    <x v="0"/>
    <x v="2"/>
    <n v="38"/>
    <d v="2022-05-13T00:00:00"/>
    <x v="3"/>
    <s v="Tiger Global"/>
    <n v="2012"/>
    <n v="232.2"/>
    <n v="406"/>
  </r>
  <r>
    <x v="404"/>
    <x v="9"/>
    <x v="5"/>
    <x v="0"/>
    <n v="5"/>
    <d v="2022-05-15T00:00:00"/>
    <x v="3"/>
    <s v="Matrix Partners"/>
    <n v="2022"/>
    <n v="35.5"/>
    <n v="69"/>
  </r>
  <r>
    <x v="405"/>
    <x v="2"/>
    <x v="1"/>
    <x v="3"/>
    <n v="1.5"/>
    <d v="2022-05-16T00:00:00"/>
    <x v="3"/>
    <s v="Info Edge"/>
    <n v="2013"/>
    <n v="13.3"/>
    <n v="52"/>
  </r>
  <r>
    <x v="406"/>
    <x v="6"/>
    <x v="4"/>
    <x v="2"/>
    <n v="30.2"/>
    <d v="2022-05-19T00:00:00"/>
    <x v="3"/>
    <s v="Elevation Capital"/>
    <n v="2021"/>
    <n v="126.7"/>
    <n v="239"/>
  </r>
  <r>
    <x v="407"/>
    <x v="6"/>
    <x v="7"/>
    <x v="4"/>
    <n v="284.3"/>
    <d v="2022-05-19T00:00:00"/>
    <x v="3"/>
    <s v="Info Edge"/>
    <n v="2016"/>
    <n v="1844.6"/>
    <n v="5404"/>
  </r>
  <r>
    <x v="408"/>
    <x v="3"/>
    <x v="5"/>
    <x v="3"/>
    <n v="2.2000000000000002"/>
    <d v="2022-05-20T00:00:00"/>
    <x v="3"/>
    <s v="Sequoia Capital"/>
    <n v="2014"/>
    <n v="19.2"/>
    <n v="30"/>
  </r>
  <r>
    <x v="409"/>
    <x v="7"/>
    <x v="7"/>
    <x v="0"/>
    <n v="8.6999999999999993"/>
    <d v="2022-05-20T00:00:00"/>
    <x v="3"/>
    <s v="Lightspeed"/>
    <n v="2018"/>
    <n v="61.8"/>
    <n v="133"/>
  </r>
  <r>
    <x v="410"/>
    <x v="2"/>
    <x v="1"/>
    <x v="3"/>
    <n v="1.2"/>
    <d v="2022-05-24T00:00:00"/>
    <x v="3"/>
    <s v="Elevation Capital"/>
    <n v="2022"/>
    <n v="9.1999999999999993"/>
    <n v="25"/>
  </r>
  <r>
    <x v="411"/>
    <x v="10"/>
    <x v="6"/>
    <x v="0"/>
    <n v="16"/>
    <d v="2022-05-28T00:00:00"/>
    <x v="3"/>
    <s v="Matrix Partners"/>
    <n v="2018"/>
    <n v="99.4"/>
    <n v="387"/>
  </r>
  <r>
    <x v="412"/>
    <x v="6"/>
    <x v="6"/>
    <x v="3"/>
    <n v="3.9"/>
    <d v="2022-06-01T00:00:00"/>
    <x v="3"/>
    <s v="Kalaari Capital"/>
    <n v="2017"/>
    <n v="28.7"/>
    <n v="110"/>
  </r>
  <r>
    <x v="413"/>
    <x v="4"/>
    <x v="4"/>
    <x v="0"/>
    <n v="14.5"/>
    <d v="2022-06-04T00:00:00"/>
    <x v="3"/>
    <s v="Kalaari Capital"/>
    <n v="2022"/>
    <n v="97"/>
    <n v="311"/>
  </r>
  <r>
    <x v="414"/>
    <x v="1"/>
    <x v="3"/>
    <x v="2"/>
    <n v="21.5"/>
    <d v="2022-06-04T00:00:00"/>
    <x v="3"/>
    <s v="Info Edge"/>
    <n v="2016"/>
    <n v="171.1"/>
    <n v="584"/>
  </r>
  <r>
    <x v="415"/>
    <x v="6"/>
    <x v="1"/>
    <x v="2"/>
    <n v="23.6"/>
    <d v="2022-06-06T00:00:00"/>
    <x v="3"/>
    <s v="Tiger Global"/>
    <n v="2020"/>
    <n v="155.69999999999999"/>
    <n v="296"/>
  </r>
  <r>
    <x v="416"/>
    <x v="11"/>
    <x v="7"/>
    <x v="1"/>
    <n v="77.8"/>
    <d v="2022-06-14T00:00:00"/>
    <x v="3"/>
    <s v="Tiger Global"/>
    <n v="2015"/>
    <n v="491.3"/>
    <n v="1455"/>
  </r>
  <r>
    <x v="417"/>
    <x v="7"/>
    <x v="1"/>
    <x v="2"/>
    <n v="33.9"/>
    <d v="2022-06-15T00:00:00"/>
    <x v="3"/>
    <s v="Y Combinator"/>
    <n v="2015"/>
    <n v="120.2"/>
    <n v="388"/>
  </r>
  <r>
    <x v="418"/>
    <x v="3"/>
    <x v="1"/>
    <x v="1"/>
    <n v="57.6"/>
    <d v="2022-06-19T00:00:00"/>
    <x v="3"/>
    <s v="SoftBank"/>
    <n v="2019"/>
    <n v="541.4"/>
    <n v="1030"/>
  </r>
  <r>
    <x v="419"/>
    <x v="9"/>
    <x v="4"/>
    <x v="3"/>
    <n v="2.9"/>
    <d v="2022-06-23T00:00:00"/>
    <x v="3"/>
    <s v="Peak XV"/>
    <n v="2016"/>
    <n v="25.5"/>
    <n v="74"/>
  </r>
  <r>
    <x v="420"/>
    <x v="9"/>
    <x v="0"/>
    <x v="0"/>
    <n v="12.4"/>
    <d v="2022-06-25T00:00:00"/>
    <x v="3"/>
    <s v="Matrix Partners"/>
    <n v="2012"/>
    <n v="56.9"/>
    <n v="116"/>
  </r>
  <r>
    <x v="421"/>
    <x v="1"/>
    <x v="1"/>
    <x v="0"/>
    <n v="8.5"/>
    <d v="2022-06-26T00:00:00"/>
    <x v="3"/>
    <s v="Chiratae Ventures"/>
    <n v="2014"/>
    <n v="35"/>
    <n v="114"/>
  </r>
  <r>
    <x v="422"/>
    <x v="11"/>
    <x v="7"/>
    <x v="0"/>
    <n v="13.5"/>
    <d v="2022-07-10T00:00:00"/>
    <x v="3"/>
    <s v="Sequoia Capital"/>
    <n v="2022"/>
    <n v="67.8"/>
    <n v="106"/>
  </r>
  <r>
    <x v="423"/>
    <x v="10"/>
    <x v="0"/>
    <x v="0"/>
    <n v="10"/>
    <d v="2022-07-11T00:00:00"/>
    <x v="3"/>
    <s v="Elevation Capital"/>
    <n v="2012"/>
    <n v="59"/>
    <n v="148"/>
  </r>
  <r>
    <x v="424"/>
    <x v="10"/>
    <x v="4"/>
    <x v="0"/>
    <n v="8.5"/>
    <d v="2022-07-13T00:00:00"/>
    <x v="3"/>
    <s v="Peak XV"/>
    <n v="2012"/>
    <n v="35.6"/>
    <n v="120"/>
  </r>
  <r>
    <x v="425"/>
    <x v="7"/>
    <x v="5"/>
    <x v="0"/>
    <n v="14.4"/>
    <d v="2022-07-23T00:00:00"/>
    <x v="3"/>
    <s v="Lightspeed"/>
    <n v="2012"/>
    <n v="59.8"/>
    <n v="203"/>
  </r>
  <r>
    <x v="426"/>
    <x v="5"/>
    <x v="4"/>
    <x v="1"/>
    <n v="85.8"/>
    <d v="2022-07-28T00:00:00"/>
    <x v="3"/>
    <s v="Peak XV"/>
    <n v="2020"/>
    <n v="726.7"/>
    <n v="2192"/>
  </r>
  <r>
    <x v="427"/>
    <x v="1"/>
    <x v="1"/>
    <x v="2"/>
    <n v="37"/>
    <d v="2022-08-06T00:00:00"/>
    <x v="3"/>
    <s v="Matrix Partners"/>
    <n v="2019"/>
    <n v="245.4"/>
    <n v="673"/>
  </r>
  <r>
    <x v="428"/>
    <x v="7"/>
    <x v="5"/>
    <x v="1"/>
    <n v="79.599999999999994"/>
    <d v="2022-08-06T00:00:00"/>
    <x v="3"/>
    <s v="Chiratae Ventures"/>
    <n v="2013"/>
    <n v="671.8"/>
    <n v="2214"/>
  </r>
  <r>
    <x v="429"/>
    <x v="9"/>
    <x v="8"/>
    <x v="2"/>
    <n v="21.7"/>
    <d v="2022-08-07T00:00:00"/>
    <x v="3"/>
    <s v="Chiratae Ventures"/>
    <n v="2015"/>
    <n v="153.80000000000001"/>
    <n v="331"/>
  </r>
  <r>
    <x v="430"/>
    <x v="1"/>
    <x v="0"/>
    <x v="4"/>
    <n v="218.1"/>
    <d v="2022-08-10T00:00:00"/>
    <x v="3"/>
    <s v="Y Combinator"/>
    <n v="2017"/>
    <n v="2388.1999999999998"/>
    <n v="4097"/>
  </r>
  <r>
    <x v="431"/>
    <x v="7"/>
    <x v="2"/>
    <x v="0"/>
    <n v="9.4"/>
    <d v="2022-08-11T00:00:00"/>
    <x v="3"/>
    <s v="Matrix Partners"/>
    <n v="2018"/>
    <n v="48.2"/>
    <n v="176"/>
  </r>
  <r>
    <x v="432"/>
    <x v="7"/>
    <x v="1"/>
    <x v="3"/>
    <n v="1.8"/>
    <d v="2022-08-18T00:00:00"/>
    <x v="3"/>
    <s v="Tiger Global"/>
    <n v="2015"/>
    <n v="7.9"/>
    <n v="29"/>
  </r>
  <r>
    <x v="433"/>
    <x v="3"/>
    <x v="7"/>
    <x v="2"/>
    <n v="56.6"/>
    <d v="2022-08-19T00:00:00"/>
    <x v="3"/>
    <s v="SoftBank"/>
    <n v="2016"/>
    <n v="267.89999999999998"/>
    <n v="810"/>
  </r>
  <r>
    <x v="434"/>
    <x v="4"/>
    <x v="4"/>
    <x v="3"/>
    <n v="3.5"/>
    <d v="2022-08-21T00:00:00"/>
    <x v="3"/>
    <s v="SoftBank"/>
    <n v="2022"/>
    <n v="26.9"/>
    <n v="77"/>
  </r>
  <r>
    <x v="435"/>
    <x v="1"/>
    <x v="1"/>
    <x v="3"/>
    <n v="2.2000000000000002"/>
    <d v="2022-08-21T00:00:00"/>
    <x v="3"/>
    <s v="Chiratae Ventures"/>
    <n v="2018"/>
    <n v="13"/>
    <n v="34"/>
  </r>
  <r>
    <x v="436"/>
    <x v="2"/>
    <x v="4"/>
    <x v="4"/>
    <n v="254.1"/>
    <d v="2022-08-25T00:00:00"/>
    <x v="3"/>
    <s v="Kalaari Capital"/>
    <n v="2018"/>
    <n v="1899.9"/>
    <n v="4968"/>
  </r>
  <r>
    <x v="437"/>
    <x v="4"/>
    <x v="0"/>
    <x v="1"/>
    <n v="81.8"/>
    <d v="2022-08-26T00:00:00"/>
    <x v="3"/>
    <s v="Sequoia Capital"/>
    <n v="2019"/>
    <n v="462.8"/>
    <n v="1710"/>
  </r>
  <r>
    <x v="438"/>
    <x v="4"/>
    <x v="2"/>
    <x v="3"/>
    <n v="2.9"/>
    <d v="2022-08-29T00:00:00"/>
    <x v="3"/>
    <s v="Lightspeed"/>
    <n v="2017"/>
    <n v="13.3"/>
    <n v="32"/>
  </r>
  <r>
    <x v="439"/>
    <x v="1"/>
    <x v="0"/>
    <x v="1"/>
    <n v="94.1"/>
    <d v="2022-08-30T00:00:00"/>
    <x v="3"/>
    <s v="Elevation Capital"/>
    <n v="2015"/>
    <n v="399.6"/>
    <n v="1377"/>
  </r>
  <r>
    <x v="440"/>
    <x v="8"/>
    <x v="1"/>
    <x v="3"/>
    <n v="0.8"/>
    <d v="2022-09-04T00:00:00"/>
    <x v="3"/>
    <s v="Blume Ventures"/>
    <n v="2022"/>
    <n v="4.0999999999999996"/>
    <n v="10"/>
  </r>
  <r>
    <x v="441"/>
    <x v="1"/>
    <x v="0"/>
    <x v="3"/>
    <n v="1.3"/>
    <d v="2022-09-08T00:00:00"/>
    <x v="3"/>
    <s v="Sequoia Capital"/>
    <n v="2012"/>
    <n v="10.9"/>
    <n v="37"/>
  </r>
  <r>
    <x v="442"/>
    <x v="2"/>
    <x v="5"/>
    <x v="0"/>
    <n v="12.3"/>
    <d v="2022-09-14T00:00:00"/>
    <x v="3"/>
    <s v="Peak XV"/>
    <n v="2017"/>
    <n v="88.2"/>
    <n v="163"/>
  </r>
  <r>
    <x v="443"/>
    <x v="5"/>
    <x v="1"/>
    <x v="2"/>
    <n v="52.5"/>
    <d v="2022-09-16T00:00:00"/>
    <x v="3"/>
    <s v="Matrix Partners"/>
    <n v="2013"/>
    <n v="261.10000000000002"/>
    <n v="787"/>
  </r>
  <r>
    <x v="444"/>
    <x v="7"/>
    <x v="0"/>
    <x v="3"/>
    <n v="1.2"/>
    <d v="2022-09-18T00:00:00"/>
    <x v="3"/>
    <s v="Y Combinator"/>
    <n v="2013"/>
    <n v="11.5"/>
    <n v="40"/>
  </r>
  <r>
    <x v="445"/>
    <x v="3"/>
    <x v="0"/>
    <x v="0"/>
    <n v="12"/>
    <d v="2022-09-20T00:00:00"/>
    <x v="3"/>
    <s v="Elevation Capital"/>
    <n v="2019"/>
    <n v="51.1"/>
    <n v="77"/>
  </r>
  <r>
    <x v="446"/>
    <x v="0"/>
    <x v="7"/>
    <x v="0"/>
    <n v="9.6"/>
    <d v="2022-09-20T00:00:00"/>
    <x v="3"/>
    <s v="Accel"/>
    <n v="2012"/>
    <n v="70"/>
    <n v="257"/>
  </r>
  <r>
    <x v="447"/>
    <x v="3"/>
    <x v="1"/>
    <x v="3"/>
    <n v="5.0999999999999996"/>
    <d v="2022-09-22T00:00:00"/>
    <x v="3"/>
    <s v="Matrix Partners"/>
    <n v="2021"/>
    <n v="41.4"/>
    <n v="63"/>
  </r>
  <r>
    <x v="448"/>
    <x v="3"/>
    <x v="6"/>
    <x v="3"/>
    <n v="1.7"/>
    <d v="2022-10-12T00:00:00"/>
    <x v="3"/>
    <s v="Tiger Global"/>
    <n v="2022"/>
    <n v="10.8"/>
    <n v="41"/>
  </r>
  <r>
    <x v="449"/>
    <x v="2"/>
    <x v="4"/>
    <x v="3"/>
    <n v="3.6"/>
    <d v="2022-10-12T00:00:00"/>
    <x v="3"/>
    <s v="Lightspeed"/>
    <n v="2021"/>
    <n v="23.7"/>
    <n v="76"/>
  </r>
  <r>
    <x v="450"/>
    <x v="6"/>
    <x v="3"/>
    <x v="2"/>
    <n v="16.3"/>
    <d v="2022-10-18T00:00:00"/>
    <x v="3"/>
    <s v="Elevation Capital"/>
    <n v="2014"/>
    <n v="87.7"/>
    <n v="341"/>
  </r>
  <r>
    <x v="451"/>
    <x v="4"/>
    <x v="1"/>
    <x v="4"/>
    <n v="163.19999999999999"/>
    <d v="2022-10-20T00:00:00"/>
    <x v="3"/>
    <s v="Chiratae Ventures"/>
    <n v="2017"/>
    <n v="1079.7"/>
    <n v="4204"/>
  </r>
  <r>
    <x v="452"/>
    <x v="11"/>
    <x v="2"/>
    <x v="3"/>
    <n v="0.8"/>
    <d v="2022-10-23T00:00:00"/>
    <x v="3"/>
    <s v="Peak XV"/>
    <n v="2016"/>
    <n v="6"/>
    <n v="12"/>
  </r>
  <r>
    <x v="453"/>
    <x v="9"/>
    <x v="0"/>
    <x v="0"/>
    <n v="10.3"/>
    <d v="2022-10-24T00:00:00"/>
    <x v="3"/>
    <s v="Lightspeed"/>
    <n v="2014"/>
    <n v="61.5"/>
    <n v="154"/>
  </r>
  <r>
    <x v="454"/>
    <x v="4"/>
    <x v="7"/>
    <x v="3"/>
    <n v="3.3"/>
    <d v="2022-10-24T00:00:00"/>
    <x v="3"/>
    <s v="Peak XV"/>
    <n v="2017"/>
    <n v="30.7"/>
    <n v="76"/>
  </r>
  <r>
    <x v="455"/>
    <x v="10"/>
    <x v="4"/>
    <x v="2"/>
    <n v="44"/>
    <d v="2022-10-26T00:00:00"/>
    <x v="3"/>
    <s v="Blume Ventures"/>
    <n v="2017"/>
    <n v="247.5"/>
    <n v="816"/>
  </r>
  <r>
    <x v="456"/>
    <x v="8"/>
    <x v="4"/>
    <x v="1"/>
    <n v="56.7"/>
    <d v="2022-11-08T00:00:00"/>
    <x v="3"/>
    <s v="Blume Ventures"/>
    <n v="2014"/>
    <n v="363.1"/>
    <n v="1313"/>
  </r>
  <r>
    <x v="457"/>
    <x v="7"/>
    <x v="4"/>
    <x v="1"/>
    <n v="124.2"/>
    <d v="2022-11-10T00:00:00"/>
    <x v="3"/>
    <s v="Chiratae Ventures"/>
    <n v="2022"/>
    <n v="578.5"/>
    <n v="1823"/>
  </r>
  <r>
    <x v="458"/>
    <x v="6"/>
    <x v="7"/>
    <x v="0"/>
    <n v="13.5"/>
    <d v="2022-11-10T00:00:00"/>
    <x v="3"/>
    <s v="Kalaari Capital"/>
    <n v="2018"/>
    <n v="75.2"/>
    <n v="173"/>
  </r>
  <r>
    <x v="459"/>
    <x v="5"/>
    <x v="8"/>
    <x v="3"/>
    <n v="0.5"/>
    <d v="2022-11-12T00:00:00"/>
    <x v="3"/>
    <s v="Lightspeed"/>
    <n v="2016"/>
    <n v="2.9"/>
    <n v="11"/>
  </r>
  <r>
    <x v="460"/>
    <x v="11"/>
    <x v="1"/>
    <x v="0"/>
    <n v="6.5"/>
    <d v="2022-11-15T00:00:00"/>
    <x v="3"/>
    <s v="3one4 Capital"/>
    <n v="2014"/>
    <n v="47.6"/>
    <n v="175"/>
  </r>
  <r>
    <x v="461"/>
    <x v="4"/>
    <x v="1"/>
    <x v="3"/>
    <n v="3.3"/>
    <d v="2022-11-16T00:00:00"/>
    <x v="3"/>
    <s v="Peak XV"/>
    <n v="2013"/>
    <n v="21.3"/>
    <n v="71"/>
  </r>
  <r>
    <x v="462"/>
    <x v="0"/>
    <x v="2"/>
    <x v="3"/>
    <n v="2"/>
    <d v="2022-11-21T00:00:00"/>
    <x v="3"/>
    <s v="3one4 Capital"/>
    <n v="2019"/>
    <n v="16"/>
    <n v="45"/>
  </r>
  <r>
    <x v="463"/>
    <x v="4"/>
    <x v="7"/>
    <x v="1"/>
    <n v="152.80000000000001"/>
    <d v="2022-11-23T00:00:00"/>
    <x v="3"/>
    <s v="Blume Ventures"/>
    <n v="2020"/>
    <n v="856.8"/>
    <n v="3306"/>
  </r>
  <r>
    <x v="464"/>
    <x v="3"/>
    <x v="1"/>
    <x v="1"/>
    <n v="150.19999999999999"/>
    <d v="2022-11-27T00:00:00"/>
    <x v="3"/>
    <s v="Y Combinator"/>
    <n v="2013"/>
    <n v="1318"/>
    <n v="3482"/>
  </r>
  <r>
    <x v="465"/>
    <x v="7"/>
    <x v="0"/>
    <x v="0"/>
    <n v="18.399999999999999"/>
    <d v="2022-11-30T00:00:00"/>
    <x v="3"/>
    <s v="Chiratae Ventures"/>
    <n v="2012"/>
    <n v="73.7"/>
    <n v="251"/>
  </r>
  <r>
    <x v="466"/>
    <x v="9"/>
    <x v="0"/>
    <x v="3"/>
    <n v="0.9"/>
    <d v="2022-12-01T00:00:00"/>
    <x v="3"/>
    <s v="Blume Ventures"/>
    <n v="2014"/>
    <n v="6.8"/>
    <n v="25"/>
  </r>
  <r>
    <x v="467"/>
    <x v="1"/>
    <x v="1"/>
    <x v="2"/>
    <n v="50.2"/>
    <d v="2022-12-02T00:00:00"/>
    <x v="3"/>
    <s v="Elevation Capital"/>
    <n v="2017"/>
    <n v="193.9"/>
    <n v="340"/>
  </r>
  <r>
    <x v="468"/>
    <x v="0"/>
    <x v="4"/>
    <x v="3"/>
    <n v="3.6"/>
    <d v="2022-12-03T00:00:00"/>
    <x v="3"/>
    <s v="Nexus Venture"/>
    <n v="2015"/>
    <n v="15.8"/>
    <n v="37"/>
  </r>
  <r>
    <x v="469"/>
    <x v="10"/>
    <x v="7"/>
    <x v="0"/>
    <n v="8.3000000000000007"/>
    <d v="2022-12-03T00:00:00"/>
    <x v="3"/>
    <s v="Blume Ventures"/>
    <n v="2014"/>
    <n v="55.6"/>
    <n v="103"/>
  </r>
  <r>
    <x v="470"/>
    <x v="8"/>
    <x v="0"/>
    <x v="0"/>
    <n v="4.7"/>
    <d v="2022-12-04T00:00:00"/>
    <x v="3"/>
    <s v="Tiger Global"/>
    <n v="2021"/>
    <n v="27.7"/>
    <n v="54"/>
  </r>
  <r>
    <x v="471"/>
    <x v="1"/>
    <x v="2"/>
    <x v="4"/>
    <n v="176.4"/>
    <d v="2022-12-05T00:00:00"/>
    <x v="3"/>
    <s v="Lightspeed"/>
    <n v="2021"/>
    <n v="1581.8"/>
    <n v="4127"/>
  </r>
  <r>
    <x v="472"/>
    <x v="6"/>
    <x v="1"/>
    <x v="3"/>
    <n v="3.1"/>
    <d v="2022-12-12T00:00:00"/>
    <x v="3"/>
    <s v="Sequoia Capital"/>
    <n v="2018"/>
    <n v="23.8"/>
    <n v="63"/>
  </r>
  <r>
    <x v="473"/>
    <x v="1"/>
    <x v="0"/>
    <x v="3"/>
    <n v="0.9"/>
    <d v="2022-12-13T00:00:00"/>
    <x v="3"/>
    <s v="Blume Ventures"/>
    <n v="2021"/>
    <n v="5.0999999999999996"/>
    <n v="10"/>
  </r>
  <r>
    <x v="474"/>
    <x v="2"/>
    <x v="0"/>
    <x v="0"/>
    <n v="9.9"/>
    <d v="2022-12-27T00:00:00"/>
    <x v="3"/>
    <s v="Lightspeed"/>
    <n v="2017"/>
    <n v="66"/>
    <n v="171"/>
  </r>
  <r>
    <x v="475"/>
    <x v="6"/>
    <x v="6"/>
    <x v="0"/>
    <n v="14.2"/>
    <d v="2022-12-31T00:00:00"/>
    <x v="3"/>
    <s v="Lightspeed"/>
    <n v="2016"/>
    <n v="102.2"/>
    <n v="263"/>
  </r>
  <r>
    <x v="476"/>
    <x v="6"/>
    <x v="7"/>
    <x v="4"/>
    <n v="211.3"/>
    <d v="2022-12-31T00:00:00"/>
    <x v="3"/>
    <s v="Peak XV"/>
    <n v="2021"/>
    <n v="1615.7"/>
    <n v="3675"/>
  </r>
  <r>
    <x v="477"/>
    <x v="0"/>
    <x v="1"/>
    <x v="0"/>
    <n v="4.7"/>
    <d v="2023-01-01T00:00:00"/>
    <x v="4"/>
    <s v="Info Edge"/>
    <n v="2021"/>
    <n v="28.6"/>
    <n v="84"/>
  </r>
  <r>
    <x v="478"/>
    <x v="0"/>
    <x v="7"/>
    <x v="1"/>
    <n v="45.7"/>
    <d v="2023-01-02T00:00:00"/>
    <x v="4"/>
    <s v="Info Edge"/>
    <n v="2019"/>
    <n v="392.9"/>
    <n v="1052"/>
  </r>
  <r>
    <x v="479"/>
    <x v="4"/>
    <x v="4"/>
    <x v="2"/>
    <n v="31.4"/>
    <d v="2023-01-13T00:00:00"/>
    <x v="4"/>
    <s v="Y Combinator"/>
    <n v="2016"/>
    <n v="248.4"/>
    <n v="922"/>
  </r>
  <r>
    <x v="480"/>
    <x v="4"/>
    <x v="1"/>
    <x v="0"/>
    <n v="13.2"/>
    <d v="2023-01-21T00:00:00"/>
    <x v="4"/>
    <s v="SoftBank"/>
    <n v="2018"/>
    <n v="66.599999999999994"/>
    <n v="213"/>
  </r>
  <r>
    <x v="481"/>
    <x v="0"/>
    <x v="6"/>
    <x v="2"/>
    <n v="28.9"/>
    <d v="2023-01-26T00:00:00"/>
    <x v="4"/>
    <s v="Y Combinator"/>
    <n v="2016"/>
    <n v="204.3"/>
    <n v="428"/>
  </r>
  <r>
    <x v="482"/>
    <x v="3"/>
    <x v="1"/>
    <x v="2"/>
    <n v="29.6"/>
    <d v="2023-02-06T00:00:00"/>
    <x v="4"/>
    <s v="Sequoia Capital"/>
    <n v="2023"/>
    <n v="123.5"/>
    <n v="240"/>
  </r>
  <r>
    <x v="483"/>
    <x v="1"/>
    <x v="1"/>
    <x v="2"/>
    <n v="14.3"/>
    <d v="2023-02-06T00:00:00"/>
    <x v="4"/>
    <s v="Lightspeed"/>
    <n v="2018"/>
    <n v="56"/>
    <n v="184"/>
  </r>
  <r>
    <x v="484"/>
    <x v="3"/>
    <x v="1"/>
    <x v="0"/>
    <n v="12.1"/>
    <d v="2023-02-09T00:00:00"/>
    <x v="4"/>
    <s v="Tiger Global"/>
    <n v="2014"/>
    <n v="70.8"/>
    <n v="125"/>
  </r>
  <r>
    <x v="485"/>
    <x v="5"/>
    <x v="4"/>
    <x v="2"/>
    <n v="42.3"/>
    <d v="2023-02-09T00:00:00"/>
    <x v="4"/>
    <s v="Accel"/>
    <n v="2022"/>
    <n v="148.19999999999999"/>
    <n v="585"/>
  </r>
  <r>
    <x v="486"/>
    <x v="1"/>
    <x v="1"/>
    <x v="0"/>
    <n v="5"/>
    <d v="2023-02-12T00:00:00"/>
    <x v="4"/>
    <s v="Kalaari Capital"/>
    <n v="2012"/>
    <n v="22.9"/>
    <n v="35"/>
  </r>
  <r>
    <x v="487"/>
    <x v="3"/>
    <x v="7"/>
    <x v="2"/>
    <n v="16.899999999999999"/>
    <d v="2023-02-15T00:00:00"/>
    <x v="4"/>
    <s v="SoftBank"/>
    <n v="2018"/>
    <n v="132.1"/>
    <n v="522"/>
  </r>
  <r>
    <x v="488"/>
    <x v="7"/>
    <x v="6"/>
    <x v="3"/>
    <n v="1.1000000000000001"/>
    <d v="2023-02-15T00:00:00"/>
    <x v="4"/>
    <s v="Sequoia Capital"/>
    <n v="2020"/>
    <n v="7.7"/>
    <n v="14"/>
  </r>
  <r>
    <x v="489"/>
    <x v="6"/>
    <x v="1"/>
    <x v="0"/>
    <n v="12.1"/>
    <d v="2023-02-16T00:00:00"/>
    <x v="4"/>
    <s v="SoftBank"/>
    <n v="2017"/>
    <n v="84.2"/>
    <n v="253"/>
  </r>
  <r>
    <x v="490"/>
    <x v="2"/>
    <x v="6"/>
    <x v="3"/>
    <n v="4.5999999999999996"/>
    <d v="2023-03-02T00:00:00"/>
    <x v="4"/>
    <s v="Elevation Capital"/>
    <n v="2016"/>
    <n v="28.7"/>
    <n v="69"/>
  </r>
  <r>
    <x v="491"/>
    <x v="2"/>
    <x v="4"/>
    <x v="3"/>
    <n v="1.3"/>
    <d v="2023-03-05T00:00:00"/>
    <x v="4"/>
    <s v="Kalaari Capital"/>
    <n v="2021"/>
    <n v="12.4"/>
    <n v="46"/>
  </r>
  <r>
    <x v="492"/>
    <x v="3"/>
    <x v="1"/>
    <x v="0"/>
    <n v="15.1"/>
    <d v="2023-03-08T00:00:00"/>
    <x v="4"/>
    <s v="Lightspeed"/>
    <n v="2021"/>
    <n v="120.4"/>
    <n v="375"/>
  </r>
  <r>
    <x v="493"/>
    <x v="8"/>
    <x v="0"/>
    <x v="3"/>
    <n v="1.9"/>
    <d v="2023-03-09T00:00:00"/>
    <x v="4"/>
    <s v="Peak XV"/>
    <n v="2015"/>
    <n v="18.2"/>
    <n v="51"/>
  </r>
  <r>
    <x v="494"/>
    <x v="10"/>
    <x v="0"/>
    <x v="2"/>
    <n v="15"/>
    <d v="2023-03-09T00:00:00"/>
    <x v="4"/>
    <s v="Accel"/>
    <n v="2016"/>
    <n v="77.599999999999994"/>
    <n v="215"/>
  </r>
  <r>
    <x v="495"/>
    <x v="10"/>
    <x v="1"/>
    <x v="1"/>
    <n v="131.1"/>
    <d v="2023-03-19T00:00:00"/>
    <x v="4"/>
    <s v="Kalaari Capital"/>
    <n v="2017"/>
    <n v="580.20000000000005"/>
    <n v="1962"/>
  </r>
  <r>
    <x v="496"/>
    <x v="6"/>
    <x v="4"/>
    <x v="1"/>
    <n v="45.9"/>
    <d v="2023-03-19T00:00:00"/>
    <x v="4"/>
    <s v="Elevation Capital"/>
    <n v="2014"/>
    <n v="289.39999999999998"/>
    <n v="674"/>
  </r>
  <r>
    <x v="497"/>
    <x v="4"/>
    <x v="4"/>
    <x v="0"/>
    <n v="8.3000000000000007"/>
    <d v="2023-03-21T00:00:00"/>
    <x v="4"/>
    <s v="Peak XV"/>
    <n v="2013"/>
    <n v="31.3"/>
    <n v="80"/>
  </r>
  <r>
    <x v="498"/>
    <x v="6"/>
    <x v="4"/>
    <x v="1"/>
    <n v="112.8"/>
    <d v="2023-04-01T00:00:00"/>
    <x v="4"/>
    <s v="Accel"/>
    <n v="2016"/>
    <n v="476.3"/>
    <n v="1672"/>
  </r>
  <r>
    <x v="499"/>
    <x v="4"/>
    <x v="7"/>
    <x v="1"/>
    <n v="108.2"/>
    <d v="2023-04-06T00:00:00"/>
    <x v="4"/>
    <s v="Chiratae Ventures"/>
    <n v="2015"/>
    <n v="936.5"/>
    <n v="3257"/>
  </r>
  <r>
    <x v="500"/>
    <x v="3"/>
    <x v="0"/>
    <x v="0"/>
    <n v="14.6"/>
    <d v="2023-04-09T00:00:00"/>
    <x v="4"/>
    <s v="SoftBank"/>
    <n v="2019"/>
    <n v="70.8"/>
    <n v="201"/>
  </r>
  <r>
    <x v="501"/>
    <x v="9"/>
    <x v="7"/>
    <x v="0"/>
    <n v="11.8"/>
    <d v="2023-04-10T00:00:00"/>
    <x v="4"/>
    <s v="Info Edge"/>
    <n v="2016"/>
    <n v="48.3"/>
    <n v="157"/>
  </r>
  <r>
    <x v="502"/>
    <x v="3"/>
    <x v="6"/>
    <x v="2"/>
    <n v="21.3"/>
    <d v="2023-04-13T00:00:00"/>
    <x v="4"/>
    <s v="Matrix Partners"/>
    <n v="2013"/>
    <n v="141.6"/>
    <n v="495"/>
  </r>
  <r>
    <x v="503"/>
    <x v="9"/>
    <x v="1"/>
    <x v="0"/>
    <n v="7.8"/>
    <d v="2023-04-15T00:00:00"/>
    <x v="4"/>
    <s v="Y Combinator"/>
    <n v="2013"/>
    <n v="33"/>
    <n v="62"/>
  </r>
  <r>
    <x v="504"/>
    <x v="1"/>
    <x v="4"/>
    <x v="1"/>
    <n v="116.4"/>
    <d v="2023-04-18T00:00:00"/>
    <x v="4"/>
    <s v="Y Combinator"/>
    <n v="2018"/>
    <n v="957.7"/>
    <n v="1939"/>
  </r>
  <r>
    <x v="505"/>
    <x v="0"/>
    <x v="1"/>
    <x v="0"/>
    <n v="4.5999999999999996"/>
    <d v="2023-04-18T00:00:00"/>
    <x v="4"/>
    <s v="Blume Ventures"/>
    <n v="2017"/>
    <n v="36"/>
    <n v="70"/>
  </r>
  <r>
    <x v="506"/>
    <x v="8"/>
    <x v="1"/>
    <x v="0"/>
    <n v="6.8"/>
    <d v="2023-04-29T00:00:00"/>
    <x v="4"/>
    <s v="3one4 Capital"/>
    <n v="2017"/>
    <n v="36.1"/>
    <n v="60"/>
  </r>
  <r>
    <x v="507"/>
    <x v="3"/>
    <x v="0"/>
    <x v="3"/>
    <n v="3.6"/>
    <d v="2023-05-05T00:00:00"/>
    <x v="4"/>
    <s v="Lightspeed"/>
    <n v="2018"/>
    <n v="24.5"/>
    <n v="52"/>
  </r>
  <r>
    <x v="508"/>
    <x v="9"/>
    <x v="0"/>
    <x v="0"/>
    <n v="12.3"/>
    <d v="2023-05-12T00:00:00"/>
    <x v="4"/>
    <s v="Matrix Partners"/>
    <n v="2023"/>
    <n v="66.3"/>
    <n v="238"/>
  </r>
  <r>
    <x v="509"/>
    <x v="11"/>
    <x v="1"/>
    <x v="3"/>
    <n v="3.2"/>
    <d v="2023-05-12T00:00:00"/>
    <x v="4"/>
    <s v="Nexus Venture"/>
    <n v="2015"/>
    <n v="19.600000000000001"/>
    <n v="61"/>
  </r>
  <r>
    <x v="510"/>
    <x v="3"/>
    <x v="7"/>
    <x v="3"/>
    <n v="2.9"/>
    <d v="2023-05-16T00:00:00"/>
    <x v="4"/>
    <s v="SoftBank"/>
    <n v="2021"/>
    <n v="19.3"/>
    <n v="69"/>
  </r>
  <r>
    <x v="511"/>
    <x v="6"/>
    <x v="4"/>
    <x v="1"/>
    <n v="72.2"/>
    <d v="2023-05-23T00:00:00"/>
    <x v="4"/>
    <s v="Tiger Global"/>
    <n v="2020"/>
    <n v="669.3"/>
    <n v="1734"/>
  </r>
  <r>
    <x v="512"/>
    <x v="1"/>
    <x v="4"/>
    <x v="4"/>
    <n v="337.2"/>
    <d v="2023-05-25T00:00:00"/>
    <x v="4"/>
    <s v="Tiger Global"/>
    <n v="2018"/>
    <n v="2047.1"/>
    <n v="7073"/>
  </r>
  <r>
    <x v="513"/>
    <x v="10"/>
    <x v="0"/>
    <x v="3"/>
    <n v="2.5"/>
    <d v="2023-05-30T00:00:00"/>
    <x v="4"/>
    <s v="Sequoia Capital"/>
    <n v="2020"/>
    <n v="20.7"/>
    <n v="45"/>
  </r>
  <r>
    <x v="514"/>
    <x v="2"/>
    <x v="0"/>
    <x v="0"/>
    <n v="6.4"/>
    <d v="2023-06-02T00:00:00"/>
    <x v="4"/>
    <s v="Info Edge"/>
    <n v="2019"/>
    <n v="40.200000000000003"/>
    <n v="89"/>
  </r>
  <r>
    <x v="515"/>
    <x v="2"/>
    <x v="5"/>
    <x v="0"/>
    <n v="11.5"/>
    <d v="2023-06-02T00:00:00"/>
    <x v="4"/>
    <s v="Blume Ventures"/>
    <n v="2017"/>
    <n v="60.2"/>
    <n v="235"/>
  </r>
  <r>
    <x v="516"/>
    <x v="11"/>
    <x v="4"/>
    <x v="0"/>
    <n v="9.6999999999999993"/>
    <d v="2023-06-02T00:00:00"/>
    <x v="4"/>
    <s v="Nexus Venture"/>
    <n v="2023"/>
    <n v="38.1"/>
    <n v="148"/>
  </r>
  <r>
    <x v="517"/>
    <x v="6"/>
    <x v="0"/>
    <x v="2"/>
    <n v="31.2"/>
    <d v="2023-06-12T00:00:00"/>
    <x v="4"/>
    <s v="Kalaari Capital"/>
    <n v="2014"/>
    <n v="217.9"/>
    <n v="818"/>
  </r>
  <r>
    <x v="518"/>
    <x v="4"/>
    <x v="1"/>
    <x v="2"/>
    <n v="17.7"/>
    <d v="2023-06-13T00:00:00"/>
    <x v="4"/>
    <s v="Y Combinator"/>
    <n v="2017"/>
    <n v="140"/>
    <n v="221"/>
  </r>
  <r>
    <x v="519"/>
    <x v="7"/>
    <x v="7"/>
    <x v="1"/>
    <n v="98.7"/>
    <d v="2023-06-13T00:00:00"/>
    <x v="4"/>
    <s v="Blume Ventures"/>
    <n v="2017"/>
    <n v="693.2"/>
    <n v="1570"/>
  </r>
  <r>
    <x v="520"/>
    <x v="10"/>
    <x v="0"/>
    <x v="1"/>
    <n v="73"/>
    <d v="2023-06-19T00:00:00"/>
    <x v="4"/>
    <s v="Peak XV"/>
    <n v="2019"/>
    <n v="625.5"/>
    <n v="945"/>
  </r>
  <r>
    <x v="521"/>
    <x v="3"/>
    <x v="7"/>
    <x v="4"/>
    <n v="364.7"/>
    <d v="2023-06-24T00:00:00"/>
    <x v="4"/>
    <s v="Y Combinator"/>
    <n v="2018"/>
    <n v="2518.3000000000002"/>
    <n v="6416"/>
  </r>
  <r>
    <x v="522"/>
    <x v="0"/>
    <x v="4"/>
    <x v="0"/>
    <n v="13"/>
    <d v="2023-06-25T00:00:00"/>
    <x v="4"/>
    <s v="Chiratae Ventures"/>
    <n v="2021"/>
    <n v="92.2"/>
    <n v="290"/>
  </r>
  <r>
    <x v="523"/>
    <x v="3"/>
    <x v="4"/>
    <x v="0"/>
    <n v="9.9"/>
    <d v="2023-07-02T00:00:00"/>
    <x v="4"/>
    <s v="Kalaari Capital"/>
    <n v="2021"/>
    <n v="62.3"/>
    <n v="219"/>
  </r>
  <r>
    <x v="524"/>
    <x v="9"/>
    <x v="1"/>
    <x v="2"/>
    <n v="31.9"/>
    <d v="2023-07-07T00:00:00"/>
    <x v="4"/>
    <s v="Lightspeed"/>
    <n v="2022"/>
    <n v="193.4"/>
    <n v="539"/>
  </r>
  <r>
    <x v="525"/>
    <x v="0"/>
    <x v="4"/>
    <x v="4"/>
    <n v="261.39999999999998"/>
    <d v="2023-07-10T00:00:00"/>
    <x v="4"/>
    <s v="Tiger Global"/>
    <n v="2013"/>
    <n v="2235.4"/>
    <n v="6266"/>
  </r>
  <r>
    <x v="526"/>
    <x v="3"/>
    <x v="7"/>
    <x v="3"/>
    <n v="2.7"/>
    <d v="2023-07-15T00:00:00"/>
    <x v="4"/>
    <s v="Nexus Venture"/>
    <n v="2015"/>
    <n v="12"/>
    <n v="19"/>
  </r>
  <r>
    <x v="527"/>
    <x v="7"/>
    <x v="1"/>
    <x v="3"/>
    <n v="3.6"/>
    <d v="2023-07-16T00:00:00"/>
    <x v="4"/>
    <s v="Kalaari Capital"/>
    <n v="2017"/>
    <n v="34.200000000000003"/>
    <n v="122"/>
  </r>
  <r>
    <x v="528"/>
    <x v="6"/>
    <x v="0"/>
    <x v="1"/>
    <n v="82.4"/>
    <d v="2023-07-21T00:00:00"/>
    <x v="4"/>
    <s v="Lightspeed"/>
    <n v="2017"/>
    <n v="373"/>
    <n v="873"/>
  </r>
  <r>
    <x v="529"/>
    <x v="8"/>
    <x v="1"/>
    <x v="4"/>
    <n v="301.2"/>
    <d v="2023-07-22T00:00:00"/>
    <x v="4"/>
    <s v="Y Combinator"/>
    <n v="2020"/>
    <n v="2565.1999999999998"/>
    <n v="6403"/>
  </r>
  <r>
    <x v="530"/>
    <x v="0"/>
    <x v="0"/>
    <x v="4"/>
    <n v="141.5"/>
    <d v="2023-07-26T00:00:00"/>
    <x v="4"/>
    <s v="Tiger Global"/>
    <n v="2012"/>
    <n v="771.8"/>
    <n v="1630"/>
  </r>
  <r>
    <x v="531"/>
    <x v="1"/>
    <x v="8"/>
    <x v="0"/>
    <n v="19.2"/>
    <d v="2023-07-31T00:00:00"/>
    <x v="4"/>
    <s v="Accel"/>
    <n v="2016"/>
    <n v="118.8"/>
    <n v="434"/>
  </r>
  <r>
    <x v="532"/>
    <x v="10"/>
    <x v="0"/>
    <x v="1"/>
    <n v="80.599999999999994"/>
    <d v="2023-08-02T00:00:00"/>
    <x v="4"/>
    <s v="3one4 Capital"/>
    <n v="2021"/>
    <n v="581.79999999999995"/>
    <n v="2107"/>
  </r>
  <r>
    <x v="533"/>
    <x v="4"/>
    <x v="7"/>
    <x v="1"/>
    <n v="106.1"/>
    <d v="2023-08-03T00:00:00"/>
    <x v="4"/>
    <s v="Sequoia Capital"/>
    <n v="2022"/>
    <n v="658.6"/>
    <n v="2010"/>
  </r>
  <r>
    <x v="534"/>
    <x v="0"/>
    <x v="1"/>
    <x v="0"/>
    <n v="14.5"/>
    <d v="2023-08-03T00:00:00"/>
    <x v="4"/>
    <s v="Chiratae Ventures"/>
    <n v="2018"/>
    <n v="113.5"/>
    <n v="425"/>
  </r>
  <r>
    <x v="535"/>
    <x v="6"/>
    <x v="8"/>
    <x v="0"/>
    <n v="11.3"/>
    <d v="2023-08-10T00:00:00"/>
    <x v="4"/>
    <s v="Sequoia Capital"/>
    <n v="2015"/>
    <n v="56.8"/>
    <n v="174"/>
  </r>
  <r>
    <x v="536"/>
    <x v="11"/>
    <x v="5"/>
    <x v="4"/>
    <n v="195.2"/>
    <d v="2023-08-19T00:00:00"/>
    <x v="4"/>
    <s v="Lightspeed"/>
    <n v="2013"/>
    <n v="961.8"/>
    <n v="3283"/>
  </r>
  <r>
    <x v="537"/>
    <x v="4"/>
    <x v="1"/>
    <x v="4"/>
    <n v="154.30000000000001"/>
    <d v="2023-08-22T00:00:00"/>
    <x v="4"/>
    <s v="Accel"/>
    <n v="2016"/>
    <n v="796.2"/>
    <n v="2125"/>
  </r>
  <r>
    <x v="538"/>
    <x v="9"/>
    <x v="0"/>
    <x v="3"/>
    <n v="3.1"/>
    <d v="2023-08-24T00:00:00"/>
    <x v="4"/>
    <s v="Blume Ventures"/>
    <n v="2018"/>
    <n v="13.3"/>
    <n v="45"/>
  </r>
  <r>
    <x v="539"/>
    <x v="1"/>
    <x v="1"/>
    <x v="4"/>
    <n v="179"/>
    <d v="2023-08-27T00:00:00"/>
    <x v="4"/>
    <s v="Kalaari Capital"/>
    <n v="2017"/>
    <n v="1194.8"/>
    <n v="2556"/>
  </r>
  <r>
    <x v="540"/>
    <x v="3"/>
    <x v="1"/>
    <x v="1"/>
    <n v="143.19999999999999"/>
    <d v="2023-08-28T00:00:00"/>
    <x v="4"/>
    <s v="Elevation Capital"/>
    <n v="2014"/>
    <n v="848.8"/>
    <n v="1637"/>
  </r>
  <r>
    <x v="541"/>
    <x v="2"/>
    <x v="4"/>
    <x v="1"/>
    <n v="66.5"/>
    <d v="2023-09-02T00:00:00"/>
    <x v="4"/>
    <s v="Info Edge"/>
    <n v="2019"/>
    <n v="568.6"/>
    <n v="1822"/>
  </r>
  <r>
    <x v="542"/>
    <x v="7"/>
    <x v="8"/>
    <x v="3"/>
    <n v="3.8"/>
    <d v="2023-09-08T00:00:00"/>
    <x v="4"/>
    <s v="Y Combinator"/>
    <n v="2019"/>
    <n v="23.9"/>
    <n v="82"/>
  </r>
  <r>
    <x v="543"/>
    <x v="4"/>
    <x v="7"/>
    <x v="2"/>
    <n v="25.1"/>
    <d v="2023-09-08T00:00:00"/>
    <x v="4"/>
    <s v="Elevation Capital"/>
    <n v="2021"/>
    <n v="103.7"/>
    <n v="261"/>
  </r>
  <r>
    <x v="544"/>
    <x v="6"/>
    <x v="8"/>
    <x v="3"/>
    <n v="3.5"/>
    <d v="2023-09-13T00:00:00"/>
    <x v="4"/>
    <s v="Kalaari Capital"/>
    <n v="2014"/>
    <n v="24.9"/>
    <n v="72"/>
  </r>
  <r>
    <x v="545"/>
    <x v="7"/>
    <x v="0"/>
    <x v="0"/>
    <n v="9.4"/>
    <d v="2023-09-19T00:00:00"/>
    <x v="4"/>
    <s v="3one4 Capital"/>
    <n v="2017"/>
    <n v="61.8"/>
    <n v="123"/>
  </r>
  <r>
    <x v="546"/>
    <x v="11"/>
    <x v="1"/>
    <x v="0"/>
    <n v="9.6999999999999993"/>
    <d v="2023-09-22T00:00:00"/>
    <x v="4"/>
    <s v="Elevation Capital"/>
    <n v="2015"/>
    <n v="49.5"/>
    <n v="85"/>
  </r>
  <r>
    <x v="547"/>
    <x v="1"/>
    <x v="1"/>
    <x v="2"/>
    <n v="23.1"/>
    <d v="2023-09-26T00:00:00"/>
    <x v="4"/>
    <s v="Info Edge"/>
    <n v="2022"/>
    <n v="166"/>
    <n v="356"/>
  </r>
  <r>
    <x v="548"/>
    <x v="6"/>
    <x v="0"/>
    <x v="0"/>
    <n v="11.7"/>
    <d v="2023-09-26T00:00:00"/>
    <x v="4"/>
    <s v="Info Edge"/>
    <n v="2022"/>
    <n v="42.3"/>
    <n v="85"/>
  </r>
  <r>
    <x v="549"/>
    <x v="0"/>
    <x v="0"/>
    <x v="0"/>
    <n v="15"/>
    <d v="2023-09-30T00:00:00"/>
    <x v="4"/>
    <s v="Elevation Capital"/>
    <n v="2019"/>
    <n v="65.099999999999994"/>
    <n v="173"/>
  </r>
  <r>
    <x v="550"/>
    <x v="6"/>
    <x v="0"/>
    <x v="4"/>
    <n v="241.6"/>
    <d v="2023-10-02T00:00:00"/>
    <x v="4"/>
    <s v="Y Combinator"/>
    <n v="2013"/>
    <n v="2432.5"/>
    <n v="6119"/>
  </r>
  <r>
    <x v="551"/>
    <x v="10"/>
    <x v="4"/>
    <x v="3"/>
    <n v="2.2999999999999998"/>
    <d v="2023-10-03T00:00:00"/>
    <x v="4"/>
    <s v="Lightspeed"/>
    <n v="2014"/>
    <n v="17.100000000000001"/>
    <n v="36"/>
  </r>
  <r>
    <x v="552"/>
    <x v="10"/>
    <x v="0"/>
    <x v="2"/>
    <n v="26.1"/>
    <d v="2023-10-06T00:00:00"/>
    <x v="4"/>
    <s v="Tiger Global"/>
    <n v="2014"/>
    <n v="193.3"/>
    <n v="736"/>
  </r>
  <r>
    <x v="553"/>
    <x v="3"/>
    <x v="4"/>
    <x v="3"/>
    <n v="1.6"/>
    <d v="2023-10-06T00:00:00"/>
    <x v="4"/>
    <s v="Chiratae Ventures"/>
    <n v="2020"/>
    <n v="8.3000000000000007"/>
    <n v="15"/>
  </r>
  <r>
    <x v="554"/>
    <x v="3"/>
    <x v="5"/>
    <x v="4"/>
    <n v="163.80000000000001"/>
    <d v="2023-10-08T00:00:00"/>
    <x v="4"/>
    <s v="Chiratae Ventures"/>
    <n v="2014"/>
    <n v="1289.5"/>
    <n v="3568"/>
  </r>
  <r>
    <x v="555"/>
    <x v="7"/>
    <x v="1"/>
    <x v="3"/>
    <n v="2.2000000000000002"/>
    <d v="2023-10-08T00:00:00"/>
    <x v="4"/>
    <s v="Chiratae Ventures"/>
    <n v="2015"/>
    <n v="20.8"/>
    <n v="80"/>
  </r>
  <r>
    <x v="556"/>
    <x v="3"/>
    <x v="0"/>
    <x v="0"/>
    <n v="7.1"/>
    <d v="2023-10-09T00:00:00"/>
    <x v="4"/>
    <s v="Nexus Venture"/>
    <n v="2013"/>
    <n v="33.4"/>
    <n v="51"/>
  </r>
  <r>
    <x v="557"/>
    <x v="6"/>
    <x v="1"/>
    <x v="2"/>
    <n v="40.1"/>
    <d v="2023-10-14T00:00:00"/>
    <x v="4"/>
    <s v="Matrix Partners"/>
    <n v="2016"/>
    <n v="141.19999999999999"/>
    <n v="384"/>
  </r>
  <r>
    <x v="558"/>
    <x v="9"/>
    <x v="1"/>
    <x v="3"/>
    <n v="0.9"/>
    <d v="2023-10-16T00:00:00"/>
    <x v="4"/>
    <s v="Info Edge"/>
    <n v="2018"/>
    <n v="4.7"/>
    <n v="16"/>
  </r>
  <r>
    <x v="559"/>
    <x v="6"/>
    <x v="6"/>
    <x v="3"/>
    <n v="0.5"/>
    <d v="2023-10-18T00:00:00"/>
    <x v="4"/>
    <s v="Tiger Global"/>
    <n v="2021"/>
    <n v="3.5"/>
    <n v="8"/>
  </r>
  <r>
    <x v="560"/>
    <x v="4"/>
    <x v="1"/>
    <x v="0"/>
    <n v="4.8"/>
    <d v="2023-10-21T00:00:00"/>
    <x v="4"/>
    <s v="Tiger Global"/>
    <n v="2013"/>
    <n v="21.4"/>
    <n v="48"/>
  </r>
  <r>
    <x v="561"/>
    <x v="11"/>
    <x v="1"/>
    <x v="3"/>
    <n v="2.5"/>
    <d v="2023-10-25T00:00:00"/>
    <x v="4"/>
    <s v="Peak XV"/>
    <n v="2017"/>
    <n v="16.899999999999999"/>
    <n v="27"/>
  </r>
  <r>
    <x v="562"/>
    <x v="2"/>
    <x v="1"/>
    <x v="3"/>
    <n v="3.4"/>
    <d v="2023-10-30T00:00:00"/>
    <x v="4"/>
    <s v="Info Edge"/>
    <n v="2023"/>
    <n v="16.2"/>
    <n v="25"/>
  </r>
  <r>
    <x v="563"/>
    <x v="1"/>
    <x v="4"/>
    <x v="0"/>
    <n v="14.7"/>
    <d v="2023-10-31T00:00:00"/>
    <x v="4"/>
    <s v="Matrix Partners"/>
    <n v="2013"/>
    <n v="78.8"/>
    <n v="218"/>
  </r>
  <r>
    <x v="564"/>
    <x v="1"/>
    <x v="1"/>
    <x v="3"/>
    <n v="1.3"/>
    <d v="2023-11-06T00:00:00"/>
    <x v="4"/>
    <s v="Blume Ventures"/>
    <n v="2018"/>
    <n v="9.1"/>
    <n v="34"/>
  </r>
  <r>
    <x v="565"/>
    <x v="3"/>
    <x v="1"/>
    <x v="3"/>
    <n v="3.2"/>
    <d v="2023-11-06T00:00:00"/>
    <x v="4"/>
    <s v="Kalaari Capital"/>
    <n v="2020"/>
    <n v="23.8"/>
    <n v="42"/>
  </r>
  <r>
    <x v="566"/>
    <x v="4"/>
    <x v="2"/>
    <x v="0"/>
    <n v="11"/>
    <d v="2023-11-07T00:00:00"/>
    <x v="4"/>
    <s v="Elevation Capital"/>
    <n v="2021"/>
    <n v="53.3"/>
    <n v="153"/>
  </r>
  <r>
    <x v="567"/>
    <x v="4"/>
    <x v="8"/>
    <x v="2"/>
    <n v="30.8"/>
    <d v="2023-11-12T00:00:00"/>
    <x v="4"/>
    <s v="Nexus Venture"/>
    <n v="2015"/>
    <n v="222.3"/>
    <n v="450"/>
  </r>
  <r>
    <x v="568"/>
    <x v="9"/>
    <x v="4"/>
    <x v="2"/>
    <n v="44"/>
    <d v="2023-11-12T00:00:00"/>
    <x v="4"/>
    <s v="Info Edge"/>
    <n v="2015"/>
    <n v="314.89999999999998"/>
    <n v="918"/>
  </r>
  <r>
    <x v="569"/>
    <x v="8"/>
    <x v="1"/>
    <x v="0"/>
    <n v="8.4"/>
    <d v="2023-11-20T00:00:00"/>
    <x v="4"/>
    <s v="Sequoia Capital"/>
    <n v="2021"/>
    <n v="59.8"/>
    <n v="226"/>
  </r>
  <r>
    <x v="570"/>
    <x v="4"/>
    <x v="4"/>
    <x v="2"/>
    <n v="19.5"/>
    <d v="2023-11-22T00:00:00"/>
    <x v="4"/>
    <s v="Y Combinator"/>
    <n v="2020"/>
    <n v="95.9"/>
    <n v="329"/>
  </r>
  <r>
    <x v="571"/>
    <x v="1"/>
    <x v="6"/>
    <x v="3"/>
    <n v="2.4"/>
    <d v="2023-11-26T00:00:00"/>
    <x v="4"/>
    <s v="Lightspeed"/>
    <n v="2020"/>
    <n v="20.8"/>
    <n v="69"/>
  </r>
  <r>
    <x v="572"/>
    <x v="9"/>
    <x v="0"/>
    <x v="2"/>
    <n v="26.8"/>
    <d v="2023-11-29T00:00:00"/>
    <x v="4"/>
    <s v="Kalaari Capital"/>
    <n v="2014"/>
    <n v="94.2"/>
    <n v="162"/>
  </r>
  <r>
    <x v="573"/>
    <x v="11"/>
    <x v="1"/>
    <x v="3"/>
    <n v="2.7"/>
    <d v="2023-12-02T00:00:00"/>
    <x v="4"/>
    <s v="Peak XV"/>
    <n v="2021"/>
    <n v="21"/>
    <n v="44"/>
  </r>
  <r>
    <x v="574"/>
    <x v="2"/>
    <x v="1"/>
    <x v="1"/>
    <n v="56.7"/>
    <d v="2023-12-02T00:00:00"/>
    <x v="4"/>
    <s v="Chiratae Ventures"/>
    <n v="2015"/>
    <n v="516.20000000000005"/>
    <n v="987"/>
  </r>
  <r>
    <x v="575"/>
    <x v="1"/>
    <x v="0"/>
    <x v="2"/>
    <n v="48.1"/>
    <d v="2023-12-05T00:00:00"/>
    <x v="4"/>
    <s v="Info Edge"/>
    <n v="2016"/>
    <n v="259.5"/>
    <n v="592"/>
  </r>
  <r>
    <x v="576"/>
    <x v="10"/>
    <x v="4"/>
    <x v="0"/>
    <n v="8.3000000000000007"/>
    <d v="2023-12-08T00:00:00"/>
    <x v="4"/>
    <s v="Tiger Global"/>
    <n v="2014"/>
    <n v="51.8"/>
    <n v="178"/>
  </r>
  <r>
    <x v="577"/>
    <x v="10"/>
    <x v="1"/>
    <x v="3"/>
    <n v="2.2999999999999998"/>
    <d v="2023-12-08T00:00:00"/>
    <x v="4"/>
    <s v="Elevation Capital"/>
    <n v="2021"/>
    <n v="20.8"/>
    <n v="61"/>
  </r>
  <r>
    <x v="578"/>
    <x v="4"/>
    <x v="1"/>
    <x v="0"/>
    <n v="18.8"/>
    <d v="2023-12-10T00:00:00"/>
    <x v="4"/>
    <s v="Matrix Partners"/>
    <n v="2013"/>
    <n v="117.3"/>
    <n v="272"/>
  </r>
  <r>
    <x v="579"/>
    <x v="4"/>
    <x v="7"/>
    <x v="4"/>
    <n v="309.5"/>
    <d v="2023-12-13T00:00:00"/>
    <x v="4"/>
    <s v="Lightspeed"/>
    <n v="2022"/>
    <n v="1722.1"/>
    <n v="3977"/>
  </r>
  <r>
    <x v="580"/>
    <x v="4"/>
    <x v="1"/>
    <x v="2"/>
    <n v="19"/>
    <d v="2023-12-20T00:00:00"/>
    <x v="4"/>
    <s v="Sequoia Capital"/>
    <n v="2021"/>
    <n v="140.19999999999999"/>
    <n v="519"/>
  </r>
  <r>
    <x v="581"/>
    <x v="4"/>
    <x v="1"/>
    <x v="0"/>
    <n v="16.5"/>
    <d v="2023-12-21T00:00:00"/>
    <x v="4"/>
    <s v="Elevation Capital"/>
    <n v="2019"/>
    <n v="119.8"/>
    <n v="420"/>
  </r>
  <r>
    <x v="582"/>
    <x v="1"/>
    <x v="1"/>
    <x v="2"/>
    <n v="44.7"/>
    <d v="2023-12-25T00:00:00"/>
    <x v="4"/>
    <s v="Y Combinator"/>
    <n v="2018"/>
    <n v="179.9"/>
    <n v="353"/>
  </r>
  <r>
    <x v="583"/>
    <x v="5"/>
    <x v="1"/>
    <x v="0"/>
    <n v="7.3"/>
    <d v="2023-12-26T00:00:00"/>
    <x v="4"/>
    <s v="Chiratae Ventures"/>
    <n v="2022"/>
    <n v="55.6"/>
    <n v="125"/>
  </r>
  <r>
    <x v="584"/>
    <x v="4"/>
    <x v="7"/>
    <x v="3"/>
    <n v="1.4"/>
    <d v="2023-12-28T00:00:00"/>
    <x v="4"/>
    <s v="Elevation Capital"/>
    <n v="2019"/>
    <n v="8.5"/>
    <n v="28"/>
  </r>
  <r>
    <x v="585"/>
    <x v="9"/>
    <x v="1"/>
    <x v="2"/>
    <n v="31.6"/>
    <d v="2023-12-31T00:00:00"/>
    <x v="4"/>
    <s v="Lightspeed"/>
    <n v="2016"/>
    <n v="212.5"/>
    <n v="789"/>
  </r>
  <r>
    <x v="586"/>
    <x v="0"/>
    <x v="0"/>
    <x v="3"/>
    <n v="4"/>
    <d v="2024-01-11T00:00:00"/>
    <x v="5"/>
    <s v="Info Edge"/>
    <n v="2020"/>
    <n v="37.700000000000003"/>
    <n v="134"/>
  </r>
  <r>
    <x v="587"/>
    <x v="4"/>
    <x v="0"/>
    <x v="4"/>
    <n v="403.8"/>
    <d v="2024-01-13T00:00:00"/>
    <x v="5"/>
    <s v="Kalaari Capital"/>
    <n v="2015"/>
    <n v="3970.8"/>
    <n v="8177"/>
  </r>
  <r>
    <x v="588"/>
    <x v="0"/>
    <x v="0"/>
    <x v="1"/>
    <n v="72.3"/>
    <d v="2024-01-20T00:00:00"/>
    <x v="5"/>
    <s v="3one4 Capital"/>
    <n v="2014"/>
    <n v="523.4"/>
    <n v="1838"/>
  </r>
  <r>
    <x v="589"/>
    <x v="8"/>
    <x v="1"/>
    <x v="0"/>
    <n v="8.1"/>
    <d v="2024-01-23T00:00:00"/>
    <x v="5"/>
    <s v="Info Edge"/>
    <n v="2016"/>
    <n v="53.4"/>
    <n v="123"/>
  </r>
  <r>
    <x v="590"/>
    <x v="9"/>
    <x v="2"/>
    <x v="0"/>
    <n v="12"/>
    <d v="2024-01-26T00:00:00"/>
    <x v="5"/>
    <s v="Blume Ventures"/>
    <n v="2017"/>
    <n v="80.3"/>
    <n v="211"/>
  </r>
  <r>
    <x v="591"/>
    <x v="4"/>
    <x v="8"/>
    <x v="0"/>
    <n v="18.5"/>
    <d v="2024-01-29T00:00:00"/>
    <x v="5"/>
    <s v="Peak XV"/>
    <n v="2020"/>
    <n v="69.3"/>
    <n v="224"/>
  </r>
  <r>
    <x v="592"/>
    <x v="7"/>
    <x v="0"/>
    <x v="0"/>
    <n v="8.4"/>
    <d v="2024-01-30T00:00:00"/>
    <x v="5"/>
    <s v="Kalaari Capital"/>
    <n v="2020"/>
    <n v="64.099999999999994"/>
    <n v="112"/>
  </r>
  <r>
    <x v="593"/>
    <x v="1"/>
    <x v="7"/>
    <x v="2"/>
    <n v="38.299999999999997"/>
    <d v="2024-01-31T00:00:00"/>
    <x v="5"/>
    <s v="Nexus Venture"/>
    <n v="2020"/>
    <n v="182"/>
    <n v="511"/>
  </r>
  <r>
    <x v="594"/>
    <x v="6"/>
    <x v="1"/>
    <x v="2"/>
    <n v="28.1"/>
    <d v="2024-02-02T00:00:00"/>
    <x v="5"/>
    <s v="Nexus Venture"/>
    <n v="2020"/>
    <n v="144.1"/>
    <n v="522"/>
  </r>
  <r>
    <x v="595"/>
    <x v="0"/>
    <x v="1"/>
    <x v="1"/>
    <n v="56.6"/>
    <d v="2024-02-04T00:00:00"/>
    <x v="5"/>
    <s v="Blume Ventures"/>
    <n v="2019"/>
    <n v="409.5"/>
    <n v="1342"/>
  </r>
  <r>
    <x v="596"/>
    <x v="4"/>
    <x v="1"/>
    <x v="0"/>
    <n v="6.2"/>
    <d v="2024-02-06T00:00:00"/>
    <x v="5"/>
    <s v="3one4 Capital"/>
    <n v="2018"/>
    <n v="47.8"/>
    <n v="124"/>
  </r>
  <r>
    <x v="597"/>
    <x v="6"/>
    <x v="6"/>
    <x v="2"/>
    <n v="16.899999999999999"/>
    <d v="2024-02-07T00:00:00"/>
    <x v="5"/>
    <s v="SoftBank"/>
    <n v="2022"/>
    <n v="125.7"/>
    <n v="373"/>
  </r>
  <r>
    <x v="598"/>
    <x v="7"/>
    <x v="1"/>
    <x v="3"/>
    <n v="2.2999999999999998"/>
    <d v="2024-02-07T00:00:00"/>
    <x v="5"/>
    <s v="Nexus Venture"/>
    <n v="2016"/>
    <n v="19.2"/>
    <n v="61"/>
  </r>
  <r>
    <x v="599"/>
    <x v="9"/>
    <x v="4"/>
    <x v="3"/>
    <n v="4.5999999999999996"/>
    <d v="2024-02-10T00:00:00"/>
    <x v="5"/>
    <s v="Blume Ventures"/>
    <n v="2017"/>
    <n v="31"/>
    <n v="82"/>
  </r>
  <r>
    <x v="600"/>
    <x v="0"/>
    <x v="0"/>
    <x v="0"/>
    <n v="5.4"/>
    <d v="2024-02-20T00:00:00"/>
    <x v="5"/>
    <s v="Lightspeed"/>
    <n v="2020"/>
    <n v="21.7"/>
    <n v="46"/>
  </r>
  <r>
    <x v="601"/>
    <x v="6"/>
    <x v="4"/>
    <x v="3"/>
    <n v="0.7"/>
    <d v="2024-02-23T00:00:00"/>
    <x v="5"/>
    <s v="Nexus Venture"/>
    <n v="2019"/>
    <n v="5.9"/>
    <n v="23"/>
  </r>
  <r>
    <x v="602"/>
    <x v="6"/>
    <x v="0"/>
    <x v="1"/>
    <n v="97.7"/>
    <d v="2024-02-28T00:00:00"/>
    <x v="5"/>
    <s v="Sequoia Capital"/>
    <n v="2020"/>
    <n v="556.6"/>
    <n v="1566"/>
  </r>
  <r>
    <x v="603"/>
    <x v="6"/>
    <x v="7"/>
    <x v="3"/>
    <n v="3.4"/>
    <d v="2024-03-01T00:00:00"/>
    <x v="5"/>
    <s v="Y Combinator"/>
    <n v="2017"/>
    <n v="20.2"/>
    <n v="40"/>
  </r>
  <r>
    <x v="604"/>
    <x v="7"/>
    <x v="3"/>
    <x v="1"/>
    <n v="54.6"/>
    <d v="2024-03-02T00:00:00"/>
    <x v="5"/>
    <s v="Y Combinator"/>
    <n v="2020"/>
    <n v="384.6"/>
    <n v="775"/>
  </r>
  <r>
    <x v="605"/>
    <x v="2"/>
    <x v="1"/>
    <x v="0"/>
    <n v="14.4"/>
    <d v="2024-03-03T00:00:00"/>
    <x v="5"/>
    <s v="Elevation Capital"/>
    <n v="2024"/>
    <n v="76.7"/>
    <n v="154"/>
  </r>
  <r>
    <x v="606"/>
    <x v="1"/>
    <x v="1"/>
    <x v="3"/>
    <n v="2"/>
    <d v="2024-03-05T00:00:00"/>
    <x v="5"/>
    <s v="Elevation Capital"/>
    <n v="2020"/>
    <n v="12.2"/>
    <n v="33"/>
  </r>
  <r>
    <x v="607"/>
    <x v="4"/>
    <x v="0"/>
    <x v="2"/>
    <n v="21.1"/>
    <d v="2024-03-07T00:00:00"/>
    <x v="5"/>
    <s v="Tiger Global"/>
    <n v="2014"/>
    <n v="113"/>
    <n v="364"/>
  </r>
  <r>
    <x v="608"/>
    <x v="7"/>
    <x v="6"/>
    <x v="4"/>
    <n v="273.7"/>
    <d v="2024-03-08T00:00:00"/>
    <x v="5"/>
    <s v="Sequoia Capital"/>
    <n v="2023"/>
    <n v="2365.6999999999998"/>
    <n v="4825"/>
  </r>
  <r>
    <x v="609"/>
    <x v="3"/>
    <x v="1"/>
    <x v="1"/>
    <n v="100.3"/>
    <d v="2024-03-14T00:00:00"/>
    <x v="5"/>
    <s v="3one4 Capital"/>
    <n v="2024"/>
    <n v="444.7"/>
    <n v="1655"/>
  </r>
  <r>
    <x v="610"/>
    <x v="10"/>
    <x v="4"/>
    <x v="0"/>
    <n v="6.8"/>
    <d v="2024-03-30T00:00:00"/>
    <x v="5"/>
    <s v="Kalaari Capital"/>
    <n v="2015"/>
    <n v="46.6"/>
    <n v="80"/>
  </r>
  <r>
    <x v="611"/>
    <x v="4"/>
    <x v="0"/>
    <x v="0"/>
    <n v="10.9"/>
    <d v="2024-03-30T00:00:00"/>
    <x v="5"/>
    <s v="Peak XV"/>
    <n v="2013"/>
    <n v="61.9"/>
    <n v="138"/>
  </r>
  <r>
    <x v="612"/>
    <x v="6"/>
    <x v="0"/>
    <x v="1"/>
    <n v="96.5"/>
    <d v="2024-03-31T00:00:00"/>
    <x v="5"/>
    <s v="Blume Ventures"/>
    <n v="2023"/>
    <n v="880.8"/>
    <n v="3080"/>
  </r>
  <r>
    <x v="613"/>
    <x v="7"/>
    <x v="5"/>
    <x v="2"/>
    <n v="24.1"/>
    <d v="2024-03-31T00:00:00"/>
    <x v="5"/>
    <s v="Lightspeed"/>
    <n v="2017"/>
    <n v="189.6"/>
    <n v="611"/>
  </r>
  <r>
    <x v="614"/>
    <x v="7"/>
    <x v="6"/>
    <x v="3"/>
    <n v="0.8"/>
    <d v="2024-04-02T00:00:00"/>
    <x v="5"/>
    <s v="Elevation Capital"/>
    <n v="2019"/>
    <n v="6.8"/>
    <n v="12"/>
  </r>
  <r>
    <x v="615"/>
    <x v="3"/>
    <x v="0"/>
    <x v="1"/>
    <n v="116.6"/>
    <d v="2024-04-11T00:00:00"/>
    <x v="5"/>
    <s v="3one4 Capital"/>
    <n v="2017"/>
    <n v="1056.2"/>
    <n v="3521"/>
  </r>
  <r>
    <x v="616"/>
    <x v="9"/>
    <x v="7"/>
    <x v="0"/>
    <n v="13.4"/>
    <d v="2024-04-14T00:00:00"/>
    <x v="5"/>
    <s v="Info Edge"/>
    <n v="2019"/>
    <n v="106.6"/>
    <n v="402"/>
  </r>
  <r>
    <x v="617"/>
    <x v="0"/>
    <x v="3"/>
    <x v="0"/>
    <n v="6.3"/>
    <d v="2024-04-21T00:00:00"/>
    <x v="5"/>
    <s v="Nexus Venture"/>
    <n v="2012"/>
    <n v="30.3"/>
    <n v="51"/>
  </r>
  <r>
    <x v="618"/>
    <x v="7"/>
    <x v="1"/>
    <x v="3"/>
    <n v="3.7"/>
    <d v="2024-04-26T00:00:00"/>
    <x v="5"/>
    <s v="Sequoia Capital"/>
    <n v="2022"/>
    <n v="34.299999999999997"/>
    <n v="64"/>
  </r>
  <r>
    <x v="619"/>
    <x v="7"/>
    <x v="0"/>
    <x v="2"/>
    <n v="32.4"/>
    <d v="2024-05-03T00:00:00"/>
    <x v="5"/>
    <s v="Nexus Venture"/>
    <n v="2020"/>
    <n v="143.19999999999999"/>
    <n v="522"/>
  </r>
  <r>
    <x v="620"/>
    <x v="4"/>
    <x v="1"/>
    <x v="1"/>
    <n v="86"/>
    <d v="2024-05-05T00:00:00"/>
    <x v="5"/>
    <s v="Kalaari Capital"/>
    <n v="2012"/>
    <n v="631"/>
    <n v="1322"/>
  </r>
  <r>
    <x v="621"/>
    <x v="1"/>
    <x v="4"/>
    <x v="3"/>
    <n v="2.4"/>
    <d v="2024-05-07T00:00:00"/>
    <x v="5"/>
    <s v="Matrix Partners"/>
    <n v="2013"/>
    <n v="14.4"/>
    <n v="35"/>
  </r>
  <r>
    <x v="622"/>
    <x v="10"/>
    <x v="5"/>
    <x v="2"/>
    <n v="17.600000000000001"/>
    <d v="2024-05-08T00:00:00"/>
    <x v="5"/>
    <s v="Elevation Capital"/>
    <n v="2013"/>
    <n v="72.099999999999994"/>
    <n v="250"/>
  </r>
  <r>
    <x v="623"/>
    <x v="5"/>
    <x v="1"/>
    <x v="4"/>
    <n v="135.9"/>
    <d v="2024-05-09T00:00:00"/>
    <x v="5"/>
    <s v="Nexus Venture"/>
    <n v="2016"/>
    <n v="768"/>
    <n v="2601"/>
  </r>
  <r>
    <x v="624"/>
    <x v="1"/>
    <x v="7"/>
    <x v="3"/>
    <n v="3"/>
    <d v="2024-05-10T00:00:00"/>
    <x v="5"/>
    <s v="Info Edge"/>
    <n v="2021"/>
    <n v="18.399999999999999"/>
    <n v="59"/>
  </r>
  <r>
    <x v="625"/>
    <x v="0"/>
    <x v="2"/>
    <x v="0"/>
    <n v="11.2"/>
    <d v="2024-05-18T00:00:00"/>
    <x v="5"/>
    <s v="Info Edge"/>
    <n v="2019"/>
    <n v="60.8"/>
    <n v="188"/>
  </r>
  <r>
    <x v="626"/>
    <x v="6"/>
    <x v="4"/>
    <x v="0"/>
    <n v="8.6"/>
    <d v="2024-05-23T00:00:00"/>
    <x v="5"/>
    <s v="Info Edge"/>
    <n v="2022"/>
    <n v="55.2"/>
    <n v="124"/>
  </r>
  <r>
    <x v="627"/>
    <x v="4"/>
    <x v="1"/>
    <x v="1"/>
    <n v="57.6"/>
    <d v="2024-05-26T00:00:00"/>
    <x v="5"/>
    <s v="Lightspeed"/>
    <n v="2016"/>
    <n v="297.89999999999998"/>
    <n v="454"/>
  </r>
  <r>
    <x v="628"/>
    <x v="6"/>
    <x v="0"/>
    <x v="4"/>
    <n v="208"/>
    <d v="2024-06-03T00:00:00"/>
    <x v="5"/>
    <s v="Tiger Global"/>
    <n v="2017"/>
    <n v="1316.2"/>
    <n v="2792"/>
  </r>
  <r>
    <x v="629"/>
    <x v="3"/>
    <x v="1"/>
    <x v="0"/>
    <n v="17"/>
    <d v="2024-06-04T00:00:00"/>
    <x v="5"/>
    <s v="3one4 Capital"/>
    <n v="2016"/>
    <n v="66.099999999999994"/>
    <n v="116"/>
  </r>
  <r>
    <x v="630"/>
    <x v="4"/>
    <x v="1"/>
    <x v="3"/>
    <n v="2.1"/>
    <d v="2024-06-05T00:00:00"/>
    <x v="5"/>
    <s v="Peak XV"/>
    <n v="2021"/>
    <n v="15.6"/>
    <n v="57"/>
  </r>
  <r>
    <x v="631"/>
    <x v="7"/>
    <x v="1"/>
    <x v="3"/>
    <n v="0.9"/>
    <d v="2024-06-06T00:00:00"/>
    <x v="5"/>
    <s v="Peak XV"/>
    <n v="2022"/>
    <n v="7.2"/>
    <n v="23"/>
  </r>
  <r>
    <x v="632"/>
    <x v="10"/>
    <x v="0"/>
    <x v="3"/>
    <n v="3.6"/>
    <d v="2024-06-07T00:00:00"/>
    <x v="5"/>
    <s v="Peak XV"/>
    <n v="2016"/>
    <n v="18.600000000000001"/>
    <n v="62"/>
  </r>
  <r>
    <x v="633"/>
    <x v="4"/>
    <x v="2"/>
    <x v="1"/>
    <n v="113.5"/>
    <d v="2024-06-08T00:00:00"/>
    <x v="5"/>
    <s v="Accel"/>
    <n v="2016"/>
    <n v="1006.2"/>
    <n v="3013"/>
  </r>
  <r>
    <x v="634"/>
    <x v="1"/>
    <x v="0"/>
    <x v="1"/>
    <n v="133.4"/>
    <d v="2024-06-14T00:00:00"/>
    <x v="5"/>
    <s v="Chiratae Ventures"/>
    <n v="2019"/>
    <n v="1240.9000000000001"/>
    <n v="3323"/>
  </r>
  <r>
    <x v="635"/>
    <x v="4"/>
    <x v="0"/>
    <x v="0"/>
    <n v="4.5999999999999996"/>
    <d v="2024-06-18T00:00:00"/>
    <x v="5"/>
    <s v="Nexus Venture"/>
    <n v="2017"/>
    <n v="16.8"/>
    <n v="56"/>
  </r>
  <r>
    <x v="636"/>
    <x v="0"/>
    <x v="1"/>
    <x v="2"/>
    <n v="17.899999999999999"/>
    <d v="2024-06-23T00:00:00"/>
    <x v="5"/>
    <s v="Blume Ventures"/>
    <n v="2015"/>
    <n v="78.7"/>
    <n v="216"/>
  </r>
  <r>
    <x v="637"/>
    <x v="4"/>
    <x v="4"/>
    <x v="0"/>
    <n v="6.8"/>
    <d v="2024-06-25T00:00:00"/>
    <x v="5"/>
    <s v="Accel"/>
    <n v="2012"/>
    <n v="30.3"/>
    <n v="117"/>
  </r>
  <r>
    <x v="638"/>
    <x v="11"/>
    <x v="4"/>
    <x v="2"/>
    <n v="33.799999999999997"/>
    <d v="2024-06-27T00:00:00"/>
    <x v="5"/>
    <s v="Accel"/>
    <n v="2016"/>
    <n v="118.8"/>
    <n v="415"/>
  </r>
  <r>
    <x v="639"/>
    <x v="10"/>
    <x v="1"/>
    <x v="3"/>
    <n v="3.2"/>
    <d v="2024-07-01T00:00:00"/>
    <x v="5"/>
    <s v="Elevation Capital"/>
    <n v="2024"/>
    <n v="30.6"/>
    <n v="88"/>
  </r>
  <r>
    <x v="640"/>
    <x v="3"/>
    <x v="4"/>
    <x v="3"/>
    <n v="1"/>
    <d v="2024-07-01T00:00:00"/>
    <x v="5"/>
    <s v="Sequoia Capital"/>
    <n v="2019"/>
    <n v="7.5"/>
    <n v="26"/>
  </r>
  <r>
    <x v="641"/>
    <x v="6"/>
    <x v="4"/>
    <x v="3"/>
    <n v="2.2999999999999998"/>
    <d v="2024-07-09T00:00:00"/>
    <x v="5"/>
    <s v="SoftBank"/>
    <n v="2024"/>
    <n v="11.1"/>
    <n v="21"/>
  </r>
  <r>
    <x v="642"/>
    <x v="4"/>
    <x v="1"/>
    <x v="0"/>
    <n v="15.1"/>
    <d v="2024-07-12T00:00:00"/>
    <x v="5"/>
    <s v="Lightspeed"/>
    <n v="2020"/>
    <n v="56.8"/>
    <n v="151"/>
  </r>
  <r>
    <x v="643"/>
    <x v="3"/>
    <x v="0"/>
    <x v="0"/>
    <n v="4.8"/>
    <d v="2024-07-13T00:00:00"/>
    <x v="5"/>
    <s v="Accel"/>
    <n v="2017"/>
    <n v="35.5"/>
    <n v="86"/>
  </r>
  <r>
    <x v="644"/>
    <x v="8"/>
    <x v="7"/>
    <x v="2"/>
    <n v="40.4"/>
    <d v="2024-07-17T00:00:00"/>
    <x v="5"/>
    <s v="Elevation Capital"/>
    <n v="2014"/>
    <n v="142.5"/>
    <n v="305"/>
  </r>
  <r>
    <x v="645"/>
    <x v="3"/>
    <x v="5"/>
    <x v="3"/>
    <n v="3.9"/>
    <d v="2024-07-20T00:00:00"/>
    <x v="5"/>
    <s v="Chiratae Ventures"/>
    <n v="2020"/>
    <n v="34"/>
    <n v="84"/>
  </r>
  <r>
    <x v="646"/>
    <x v="1"/>
    <x v="1"/>
    <x v="2"/>
    <n v="22.8"/>
    <d v="2024-07-23T00:00:00"/>
    <x v="5"/>
    <s v="Peak XV"/>
    <n v="2017"/>
    <n v="103.3"/>
    <n v="184"/>
  </r>
  <r>
    <x v="647"/>
    <x v="6"/>
    <x v="6"/>
    <x v="0"/>
    <n v="14.7"/>
    <d v="2024-07-25T00:00:00"/>
    <x v="5"/>
    <s v="Info Edge"/>
    <n v="2015"/>
    <n v="97.9"/>
    <n v="274"/>
  </r>
  <r>
    <x v="648"/>
    <x v="3"/>
    <x v="6"/>
    <x v="0"/>
    <n v="15.1"/>
    <d v="2024-07-27T00:00:00"/>
    <x v="5"/>
    <s v="Lightspeed"/>
    <n v="2021"/>
    <n v="107"/>
    <n v="178"/>
  </r>
  <r>
    <x v="649"/>
    <x v="5"/>
    <x v="0"/>
    <x v="4"/>
    <n v="165.1"/>
    <d v="2024-07-28T00:00:00"/>
    <x v="5"/>
    <s v="Sequoia Capital"/>
    <n v="2017"/>
    <n v="1720.4"/>
    <n v="6339"/>
  </r>
  <r>
    <x v="650"/>
    <x v="2"/>
    <x v="1"/>
    <x v="1"/>
    <n v="65.5"/>
    <d v="2024-07-29T00:00:00"/>
    <x v="5"/>
    <s v="Blume Ventures"/>
    <n v="2014"/>
    <n v="280.10000000000002"/>
    <n v="925"/>
  </r>
  <r>
    <x v="651"/>
    <x v="3"/>
    <x v="1"/>
    <x v="3"/>
    <n v="4.5999999999999996"/>
    <d v="2024-07-30T00:00:00"/>
    <x v="5"/>
    <s v="Accel"/>
    <n v="2021"/>
    <n v="23.1"/>
    <n v="62"/>
  </r>
  <r>
    <x v="652"/>
    <x v="0"/>
    <x v="4"/>
    <x v="2"/>
    <n v="33.9"/>
    <d v="2024-08-01T00:00:00"/>
    <x v="5"/>
    <s v="Kalaari Capital"/>
    <n v="2015"/>
    <n v="185.1"/>
    <n v="577"/>
  </r>
  <r>
    <x v="653"/>
    <x v="1"/>
    <x v="1"/>
    <x v="1"/>
    <n v="50.1"/>
    <d v="2024-08-11T00:00:00"/>
    <x v="5"/>
    <s v="Blume Ventures"/>
    <n v="2024"/>
    <n v="290.8"/>
    <n v="484"/>
  </r>
  <r>
    <x v="654"/>
    <x v="7"/>
    <x v="0"/>
    <x v="0"/>
    <n v="7"/>
    <d v="2024-08-11T00:00:00"/>
    <x v="5"/>
    <s v="Elevation Capital"/>
    <n v="2012"/>
    <n v="25.6"/>
    <n v="67"/>
  </r>
  <r>
    <x v="655"/>
    <x v="4"/>
    <x v="1"/>
    <x v="3"/>
    <n v="3.1"/>
    <d v="2024-08-19T00:00:00"/>
    <x v="5"/>
    <s v="Y Combinator"/>
    <n v="2022"/>
    <n v="21.2"/>
    <n v="42"/>
  </r>
  <r>
    <x v="656"/>
    <x v="7"/>
    <x v="1"/>
    <x v="2"/>
    <n v="25.8"/>
    <d v="2024-08-31T00:00:00"/>
    <x v="5"/>
    <s v="SoftBank"/>
    <n v="2012"/>
    <n v="135.4"/>
    <n v="485"/>
  </r>
  <r>
    <x v="657"/>
    <x v="0"/>
    <x v="1"/>
    <x v="3"/>
    <n v="0.9"/>
    <d v="2024-09-03T00:00:00"/>
    <x v="5"/>
    <s v="Lightspeed"/>
    <n v="2022"/>
    <n v="8.5"/>
    <n v="25"/>
  </r>
  <r>
    <x v="658"/>
    <x v="3"/>
    <x v="0"/>
    <x v="1"/>
    <n v="66"/>
    <d v="2024-09-03T00:00:00"/>
    <x v="5"/>
    <s v="Chiratae Ventures"/>
    <n v="2013"/>
    <n v="454.8"/>
    <n v="1346"/>
  </r>
  <r>
    <x v="659"/>
    <x v="3"/>
    <x v="8"/>
    <x v="3"/>
    <n v="1.6"/>
    <d v="2024-09-07T00:00:00"/>
    <x v="5"/>
    <s v="Nexus Venture"/>
    <n v="2022"/>
    <n v="12.3"/>
    <n v="43"/>
  </r>
  <r>
    <x v="660"/>
    <x v="6"/>
    <x v="0"/>
    <x v="0"/>
    <n v="7.7"/>
    <d v="2024-09-08T00:00:00"/>
    <x v="5"/>
    <s v="Lightspeed"/>
    <n v="2020"/>
    <n v="61.3"/>
    <n v="142"/>
  </r>
  <r>
    <x v="661"/>
    <x v="4"/>
    <x v="0"/>
    <x v="3"/>
    <n v="2"/>
    <d v="2024-09-10T00:00:00"/>
    <x v="5"/>
    <s v="Info Edge"/>
    <n v="2018"/>
    <n v="16"/>
    <n v="24"/>
  </r>
  <r>
    <x v="662"/>
    <x v="2"/>
    <x v="0"/>
    <x v="4"/>
    <n v="310.2"/>
    <d v="2024-09-20T00:00:00"/>
    <x v="5"/>
    <s v="Peak XV"/>
    <n v="2015"/>
    <n v="1765.3"/>
    <n v="5960"/>
  </r>
  <r>
    <x v="663"/>
    <x v="3"/>
    <x v="1"/>
    <x v="3"/>
    <n v="2.8"/>
    <d v="2024-09-21T00:00:00"/>
    <x v="5"/>
    <s v="Nexus Venture"/>
    <n v="2023"/>
    <n v="25"/>
    <n v="95"/>
  </r>
  <r>
    <x v="664"/>
    <x v="11"/>
    <x v="0"/>
    <x v="3"/>
    <n v="1.5"/>
    <d v="2024-09-25T00:00:00"/>
    <x v="5"/>
    <s v="Accel"/>
    <n v="2018"/>
    <n v="7.5"/>
    <n v="12"/>
  </r>
  <r>
    <x v="665"/>
    <x v="9"/>
    <x v="1"/>
    <x v="3"/>
    <n v="3.7"/>
    <d v="2024-09-26T00:00:00"/>
    <x v="5"/>
    <s v="Y Combinator"/>
    <n v="2013"/>
    <n v="16.600000000000001"/>
    <n v="45"/>
  </r>
  <r>
    <x v="666"/>
    <x v="7"/>
    <x v="0"/>
    <x v="0"/>
    <n v="4.7"/>
    <d v="2024-09-26T00:00:00"/>
    <x v="5"/>
    <s v="3one4 Capital"/>
    <n v="2023"/>
    <n v="26.9"/>
    <n v="107"/>
  </r>
  <r>
    <x v="667"/>
    <x v="1"/>
    <x v="0"/>
    <x v="0"/>
    <n v="10.7"/>
    <d v="2024-09-27T00:00:00"/>
    <x v="5"/>
    <s v="Peak XV"/>
    <n v="2015"/>
    <n v="56.3"/>
    <n v="106"/>
  </r>
  <r>
    <x v="668"/>
    <x v="10"/>
    <x v="1"/>
    <x v="3"/>
    <n v="1"/>
    <d v="2024-09-28T00:00:00"/>
    <x v="5"/>
    <s v="Elevation Capital"/>
    <n v="2021"/>
    <n v="6.4"/>
    <n v="20"/>
  </r>
  <r>
    <x v="669"/>
    <x v="10"/>
    <x v="0"/>
    <x v="3"/>
    <n v="4.5"/>
    <d v="2024-09-30T00:00:00"/>
    <x v="5"/>
    <s v="Elevation Capital"/>
    <n v="2014"/>
    <n v="42.9"/>
    <n v="87"/>
  </r>
  <r>
    <x v="670"/>
    <x v="3"/>
    <x v="4"/>
    <x v="3"/>
    <n v="3.6"/>
    <d v="2024-10-07T00:00:00"/>
    <x v="5"/>
    <s v="Tiger Global"/>
    <n v="2014"/>
    <n v="26.3"/>
    <n v="66"/>
  </r>
  <r>
    <x v="671"/>
    <x v="4"/>
    <x v="1"/>
    <x v="2"/>
    <n v="25.4"/>
    <d v="2024-10-07T00:00:00"/>
    <x v="5"/>
    <s v="Peak XV"/>
    <n v="2019"/>
    <n v="125.5"/>
    <n v="495"/>
  </r>
  <r>
    <x v="672"/>
    <x v="3"/>
    <x v="7"/>
    <x v="3"/>
    <n v="3.6"/>
    <d v="2024-10-09T00:00:00"/>
    <x v="5"/>
    <s v="Kalaari Capital"/>
    <n v="2012"/>
    <n v="31.5"/>
    <n v="75"/>
  </r>
  <r>
    <x v="673"/>
    <x v="0"/>
    <x v="1"/>
    <x v="0"/>
    <n v="8.1"/>
    <d v="2024-10-11T00:00:00"/>
    <x v="5"/>
    <s v="Blume Ventures"/>
    <n v="2013"/>
    <n v="45.1"/>
    <n v="144"/>
  </r>
  <r>
    <x v="674"/>
    <x v="2"/>
    <x v="1"/>
    <x v="0"/>
    <n v="7.6"/>
    <d v="2024-10-12T00:00:00"/>
    <x v="5"/>
    <s v="Sequoia Capital"/>
    <n v="2023"/>
    <n v="59.9"/>
    <n v="163"/>
  </r>
  <r>
    <x v="675"/>
    <x v="5"/>
    <x v="1"/>
    <x v="3"/>
    <n v="1.2"/>
    <d v="2024-10-12T00:00:00"/>
    <x v="5"/>
    <s v="Tiger Global"/>
    <n v="2017"/>
    <n v="9.4"/>
    <n v="23"/>
  </r>
  <r>
    <x v="676"/>
    <x v="2"/>
    <x v="4"/>
    <x v="0"/>
    <n v="4.4000000000000004"/>
    <d v="2024-10-14T00:00:00"/>
    <x v="5"/>
    <s v="Matrix Partners"/>
    <n v="2022"/>
    <n v="32.200000000000003"/>
    <n v="55"/>
  </r>
  <r>
    <x v="677"/>
    <x v="6"/>
    <x v="0"/>
    <x v="0"/>
    <n v="7.2"/>
    <d v="2024-10-14T00:00:00"/>
    <x v="5"/>
    <s v="Elevation Capital"/>
    <n v="2017"/>
    <n v="57"/>
    <n v="109"/>
  </r>
  <r>
    <x v="678"/>
    <x v="2"/>
    <x v="1"/>
    <x v="3"/>
    <n v="2.7"/>
    <d v="2024-10-15T00:00:00"/>
    <x v="5"/>
    <s v="Nexus Venture"/>
    <n v="2012"/>
    <n v="17.7"/>
    <n v="35"/>
  </r>
  <r>
    <x v="679"/>
    <x v="7"/>
    <x v="1"/>
    <x v="1"/>
    <n v="66.3"/>
    <d v="2024-10-18T00:00:00"/>
    <x v="5"/>
    <s v="Blume Ventures"/>
    <n v="2018"/>
    <n v="577.20000000000005"/>
    <n v="1376"/>
  </r>
  <r>
    <x v="680"/>
    <x v="8"/>
    <x v="7"/>
    <x v="0"/>
    <n v="8.5"/>
    <d v="2024-10-18T00:00:00"/>
    <x v="5"/>
    <s v="Lightspeed"/>
    <n v="2013"/>
    <n v="43.6"/>
    <n v="122"/>
  </r>
  <r>
    <x v="681"/>
    <x v="7"/>
    <x v="4"/>
    <x v="3"/>
    <n v="2.8"/>
    <d v="2024-10-18T00:00:00"/>
    <x v="5"/>
    <s v="Elevation Capital"/>
    <n v="2021"/>
    <n v="14"/>
    <n v="34"/>
  </r>
  <r>
    <x v="682"/>
    <x v="1"/>
    <x v="4"/>
    <x v="0"/>
    <n v="9.6"/>
    <d v="2024-10-19T00:00:00"/>
    <x v="5"/>
    <s v="Y Combinator"/>
    <n v="2024"/>
    <n v="69.099999999999994"/>
    <n v="110"/>
  </r>
  <r>
    <x v="683"/>
    <x v="6"/>
    <x v="0"/>
    <x v="0"/>
    <n v="10.199999999999999"/>
    <d v="2024-10-19T00:00:00"/>
    <x v="5"/>
    <s v="Sequoia Capital"/>
    <n v="2018"/>
    <n v="42.5"/>
    <n v="91"/>
  </r>
  <r>
    <x v="684"/>
    <x v="7"/>
    <x v="1"/>
    <x v="3"/>
    <n v="0.8"/>
    <d v="2024-10-21T00:00:00"/>
    <x v="5"/>
    <s v="Blume Ventures"/>
    <n v="2013"/>
    <n v="4"/>
    <n v="14"/>
  </r>
  <r>
    <x v="685"/>
    <x v="7"/>
    <x v="1"/>
    <x v="3"/>
    <n v="2.2999999999999998"/>
    <d v="2024-11-05T00:00:00"/>
    <x v="5"/>
    <s v="Lightspeed"/>
    <n v="2016"/>
    <n v="15.3"/>
    <n v="26"/>
  </r>
  <r>
    <x v="686"/>
    <x v="4"/>
    <x v="4"/>
    <x v="3"/>
    <n v="1.6"/>
    <d v="2024-11-07T00:00:00"/>
    <x v="5"/>
    <s v="Peak XV"/>
    <n v="2020"/>
    <n v="9.6"/>
    <n v="15"/>
  </r>
  <r>
    <x v="687"/>
    <x v="2"/>
    <x v="4"/>
    <x v="2"/>
    <n v="35.6"/>
    <d v="2024-11-11T00:00:00"/>
    <x v="5"/>
    <s v="Matrix Partners"/>
    <n v="2019"/>
    <n v="172.7"/>
    <n v="676"/>
  </r>
  <r>
    <x v="688"/>
    <x v="1"/>
    <x v="4"/>
    <x v="1"/>
    <n v="83.1"/>
    <d v="2024-11-13T00:00:00"/>
    <x v="5"/>
    <s v="Lightspeed"/>
    <n v="2016"/>
    <n v="763.1"/>
    <n v="2847"/>
  </r>
  <r>
    <x v="689"/>
    <x v="4"/>
    <x v="7"/>
    <x v="4"/>
    <n v="145.9"/>
    <d v="2024-11-16T00:00:00"/>
    <x v="5"/>
    <s v="SoftBank"/>
    <n v="2018"/>
    <n v="1400.7"/>
    <n v="3348"/>
  </r>
  <r>
    <x v="690"/>
    <x v="6"/>
    <x v="4"/>
    <x v="0"/>
    <n v="12.3"/>
    <d v="2024-11-21T00:00:00"/>
    <x v="5"/>
    <s v="Peak XV"/>
    <n v="2015"/>
    <n v="48.5"/>
    <n v="118"/>
  </r>
  <r>
    <x v="691"/>
    <x v="9"/>
    <x v="1"/>
    <x v="0"/>
    <n v="18.399999999999999"/>
    <d v="2024-11-28T00:00:00"/>
    <x v="5"/>
    <s v="Sequoia Capital"/>
    <n v="2018"/>
    <n v="128.1"/>
    <n v="413"/>
  </r>
  <r>
    <x v="692"/>
    <x v="2"/>
    <x v="0"/>
    <x v="3"/>
    <n v="2.2999999999999998"/>
    <d v="2024-12-07T00:00:00"/>
    <x v="5"/>
    <s v="Elevation Capital"/>
    <n v="2024"/>
    <n v="11.6"/>
    <n v="43"/>
  </r>
  <r>
    <x v="693"/>
    <x v="4"/>
    <x v="1"/>
    <x v="4"/>
    <n v="201.8"/>
    <d v="2024-12-07T00:00:00"/>
    <x v="5"/>
    <s v="Matrix Partners"/>
    <n v="2022"/>
    <n v="1993.6"/>
    <n v="7219"/>
  </r>
  <r>
    <x v="694"/>
    <x v="11"/>
    <x v="0"/>
    <x v="3"/>
    <n v="2.2000000000000002"/>
    <d v="2024-12-08T00:00:00"/>
    <x v="5"/>
    <s v="Y Combinator"/>
    <n v="2024"/>
    <n v="12.7"/>
    <n v="39"/>
  </r>
  <r>
    <x v="695"/>
    <x v="5"/>
    <x v="4"/>
    <x v="3"/>
    <n v="1.6"/>
    <d v="2024-12-09T00:00:00"/>
    <x v="5"/>
    <s v="Y Combinator"/>
    <n v="2012"/>
    <n v="7"/>
    <n v="12"/>
  </r>
  <r>
    <x v="696"/>
    <x v="3"/>
    <x v="7"/>
    <x v="0"/>
    <n v="9.9"/>
    <d v="2024-12-13T00:00:00"/>
    <x v="5"/>
    <s v="Blume Ventures"/>
    <n v="2020"/>
    <n v="56.1"/>
    <n v="193"/>
  </r>
  <r>
    <x v="697"/>
    <x v="6"/>
    <x v="4"/>
    <x v="4"/>
    <n v="342.7"/>
    <d v="2024-12-17T00:00:00"/>
    <x v="5"/>
    <s v="3one4 Capital"/>
    <n v="2022"/>
    <n v="3721.5"/>
    <n v="6659"/>
  </r>
  <r>
    <x v="698"/>
    <x v="3"/>
    <x v="5"/>
    <x v="0"/>
    <n v="18.8"/>
    <d v="2024-12-23T00:00:00"/>
    <x v="5"/>
    <s v="Elevation Capital"/>
    <n v="2015"/>
    <n v="92.1"/>
    <n v="185"/>
  </r>
  <r>
    <x v="699"/>
    <x v="1"/>
    <x v="0"/>
    <x v="2"/>
    <n v="38.1"/>
    <d v="2024-12-31T00:00:00"/>
    <x v="5"/>
    <s v="Sequoia Capital"/>
    <n v="2019"/>
    <n v="267"/>
    <n v="88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272AD6-1E4B-4132-94C6-86B52DC75A27}" name="ptK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27:I28" firstHeaderRow="1" firstDataRow="1" firstDataCol="0"/>
  <pivotFields count="11">
    <pivotField showAll="0"/>
    <pivotField showAll="0">
      <items count="13">
        <item x="5"/>
        <item x="0"/>
        <item x="8"/>
        <item x="6"/>
        <item x="7"/>
        <item x="4"/>
        <item x="2"/>
        <item x="11"/>
        <item x="1"/>
        <item x="9"/>
        <item x="10"/>
        <item x="3"/>
        <item t="default"/>
      </items>
    </pivotField>
    <pivotField showAll="0">
      <items count="10">
        <item x="8"/>
        <item x="1"/>
        <item x="6"/>
        <item x="4"/>
        <item x="7"/>
        <item x="3"/>
        <item x="5"/>
        <item x="0"/>
        <item x="2"/>
        <item t="default"/>
      </items>
    </pivotField>
    <pivotField showAll="0">
      <items count="6">
        <item x="3"/>
        <item x="0"/>
        <item x="2"/>
        <item x="1"/>
        <item x="4"/>
        <item t="default"/>
      </items>
    </pivotField>
    <pivotField dataField="1" numFmtId="164" showAll="0"/>
    <pivotField numFmtId="165" showAll="0"/>
    <pivotField numFmtId="1" showAll="0">
      <items count="7">
        <item x="0"/>
        <item x="1"/>
        <item x="2"/>
        <item x="3"/>
        <item x="4"/>
        <item x="5"/>
        <item t="default"/>
      </items>
    </pivotField>
    <pivotField showAll="0"/>
    <pivotField numFmtId="1" showAll="0"/>
    <pivotField numFmtId="164" showAll="0"/>
    <pivotField numFmtId="3" showAll="0"/>
  </pivotFields>
  <rowItems count="1">
    <i/>
  </rowItems>
  <colItems count="1">
    <i/>
  </colItems>
  <dataFields count="1">
    <dataField name="AvgDeal" fld="4" subtotal="average" baseField="0" baseItem="0" numFmtId="164"/>
  </dataFields>
  <formats count="4">
    <format dxfId="30">
      <pivotArea type="all" dataOnly="0" outline="0" fieldPosition="0"/>
    </format>
    <format dxfId="29">
      <pivotArea outline="0" collapsedLevelsAreSubtotals="1" fieldPosition="0"/>
    </format>
    <format dxfId="28">
      <pivotArea dataOnly="0" labelOnly="1" outline="0" axis="axisValues" fieldPosition="0"/>
    </format>
    <format dxfId="15">
      <pivotArea dataOnly="0" labelOnly="1" outline="0" axis="axisValues" fieldPosition="0"/>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B1C5ED8-D619-420B-85C7-93E216251AC9}" name="ptStag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Funding Stage">
  <location ref="F7:G13" firstHeaderRow="1" firstDataRow="1" firstDataCol="1"/>
  <pivotFields count="11">
    <pivotField showAll="0"/>
    <pivotField showAll="0">
      <items count="13">
        <item x="5"/>
        <item x="0"/>
        <item x="8"/>
        <item x="6"/>
        <item x="7"/>
        <item x="4"/>
        <item x="2"/>
        <item x="11"/>
        <item x="1"/>
        <item x="9"/>
        <item x="10"/>
        <item x="3"/>
        <item t="default"/>
      </items>
    </pivotField>
    <pivotField showAll="0">
      <items count="10">
        <item x="8"/>
        <item x="1"/>
        <item x="6"/>
        <item x="4"/>
        <item x="7"/>
        <item x="3"/>
        <item x="5"/>
        <item x="0"/>
        <item x="2"/>
        <item t="default"/>
      </items>
    </pivotField>
    <pivotField axis="axisRow" showAll="0">
      <items count="6">
        <item x="3"/>
        <item x="0"/>
        <item x="2"/>
        <item x="1"/>
        <item x="4"/>
        <item t="default"/>
      </items>
    </pivotField>
    <pivotField dataField="1" numFmtId="164" showAll="0"/>
    <pivotField numFmtId="165" showAll="0"/>
    <pivotField numFmtId="1" showAll="0">
      <items count="7">
        <item x="0"/>
        <item x="1"/>
        <item x="2"/>
        <item x="3"/>
        <item x="4"/>
        <item x="5"/>
        <item t="default"/>
      </items>
    </pivotField>
    <pivotField showAll="0"/>
    <pivotField numFmtId="1" showAll="0"/>
    <pivotField numFmtId="164" showAll="0"/>
    <pivotField numFmtId="3" showAll="0"/>
  </pivotFields>
  <rowFields count="1">
    <field x="3"/>
  </rowFields>
  <rowItems count="6">
    <i>
      <x/>
    </i>
    <i>
      <x v="1"/>
    </i>
    <i>
      <x v="2"/>
    </i>
    <i>
      <x v="3"/>
    </i>
    <i>
      <x v="4"/>
    </i>
    <i t="grand">
      <x/>
    </i>
  </rowItems>
  <colItems count="1">
    <i/>
  </colItems>
  <dataFields count="1">
    <dataField name="Funding" fld="4" baseField="0" baseItem="0" numFmtId="164"/>
  </dataFields>
  <formats count="10">
    <format dxfId="36">
      <pivotArea type="all" dataOnly="0" outline="0" fieldPosition="0"/>
    </format>
    <format dxfId="35">
      <pivotArea outline="0" collapsedLevelsAreSubtotals="1" fieldPosition="0"/>
    </format>
    <format dxfId="34">
      <pivotArea field="3" type="button" dataOnly="0" labelOnly="1" outline="0" axis="axisRow" fieldPosition="0"/>
    </format>
    <format dxfId="33">
      <pivotArea dataOnly="0" labelOnly="1" fieldPosition="0">
        <references count="1">
          <reference field="3" count="0"/>
        </references>
      </pivotArea>
    </format>
    <format dxfId="32">
      <pivotArea dataOnly="0" labelOnly="1" grandRow="1" outline="0" fieldPosition="0"/>
    </format>
    <format dxfId="31">
      <pivotArea dataOnly="0" labelOnly="1" outline="0" axis="axisValues" fieldPosition="0"/>
    </format>
    <format dxfId="25">
      <pivotArea field="3" type="button" dataOnly="0" labelOnly="1" outline="0" axis="axisRow" fieldPosition="0"/>
    </format>
    <format dxfId="24">
      <pivotArea dataOnly="0" labelOnly="1" outline="0" axis="axisValues" fieldPosition="0"/>
    </format>
    <format dxfId="9">
      <pivotArea field="3" type="button" dataOnly="0" labelOnly="1" outline="0" axis="axisRow" fieldPosition="0"/>
    </format>
    <format dxfId="8">
      <pivotArea dataOnly="0" labelOnly="1" outline="0" axis="axisValues" fieldPosition="0"/>
    </format>
  </formats>
  <chartFormats count="2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 chart="0" format="4">
      <pivotArea type="data" outline="0" fieldPosition="0">
        <references count="2">
          <reference field="4294967294" count="1" selected="0">
            <x v="0"/>
          </reference>
          <reference field="3" count="1" selected="0">
            <x v="3"/>
          </reference>
        </references>
      </pivotArea>
    </chartFormat>
    <chartFormat chart="0" format="5">
      <pivotArea type="data" outline="0" fieldPosition="0">
        <references count="2">
          <reference field="4294967294" count="1" selected="0">
            <x v="0"/>
          </reference>
          <reference field="3" count="1" selected="0">
            <x v="4"/>
          </reference>
        </references>
      </pivotArea>
    </chartFormat>
    <chartFormat chart="4" format="18" series="1">
      <pivotArea type="data" outline="0" fieldPosition="0">
        <references count="1">
          <reference field="4294967294" count="1" selected="0">
            <x v="0"/>
          </reference>
        </references>
      </pivotArea>
    </chartFormat>
    <chartFormat chart="4" format="19">
      <pivotArea type="data" outline="0" fieldPosition="0">
        <references count="2">
          <reference field="4294967294" count="1" selected="0">
            <x v="0"/>
          </reference>
          <reference field="3" count="1" selected="0">
            <x v="0"/>
          </reference>
        </references>
      </pivotArea>
    </chartFormat>
    <chartFormat chart="4" format="20">
      <pivotArea type="data" outline="0" fieldPosition="0">
        <references count="2">
          <reference field="4294967294" count="1" selected="0">
            <x v="0"/>
          </reference>
          <reference field="3" count="1" selected="0">
            <x v="1"/>
          </reference>
        </references>
      </pivotArea>
    </chartFormat>
    <chartFormat chart="4" format="21">
      <pivotArea type="data" outline="0" fieldPosition="0">
        <references count="2">
          <reference field="4294967294" count="1" selected="0">
            <x v="0"/>
          </reference>
          <reference field="3" count="1" selected="0">
            <x v="2"/>
          </reference>
        </references>
      </pivotArea>
    </chartFormat>
    <chartFormat chart="4" format="22">
      <pivotArea type="data" outline="0" fieldPosition="0">
        <references count="2">
          <reference field="4294967294" count="1" selected="0">
            <x v="0"/>
          </reference>
          <reference field="3" count="1" selected="0">
            <x v="3"/>
          </reference>
        </references>
      </pivotArea>
    </chartFormat>
    <chartFormat chart="4" format="23">
      <pivotArea type="data" outline="0" fieldPosition="0">
        <references count="2">
          <reference field="4294967294" count="1" selected="0">
            <x v="0"/>
          </reference>
          <reference field="3" count="1" selected="0">
            <x v="4"/>
          </reference>
        </references>
      </pivotArea>
    </chartFormat>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3" count="1" selected="0">
            <x v="0"/>
          </reference>
        </references>
      </pivotArea>
    </chartFormat>
    <chartFormat chart="5" format="2">
      <pivotArea type="data" outline="0" fieldPosition="0">
        <references count="2">
          <reference field="4294967294" count="1" selected="0">
            <x v="0"/>
          </reference>
          <reference field="3" count="1" selected="0">
            <x v="1"/>
          </reference>
        </references>
      </pivotArea>
    </chartFormat>
    <chartFormat chart="5" format="3">
      <pivotArea type="data" outline="0" fieldPosition="0">
        <references count="2">
          <reference field="4294967294" count="1" selected="0">
            <x v="0"/>
          </reference>
          <reference field="3" count="1" selected="0">
            <x v="2"/>
          </reference>
        </references>
      </pivotArea>
    </chartFormat>
    <chartFormat chart="5" format="4">
      <pivotArea type="data" outline="0" fieldPosition="0">
        <references count="2">
          <reference field="4294967294" count="1" selected="0">
            <x v="0"/>
          </reference>
          <reference field="3" count="1" selected="0">
            <x v="3"/>
          </reference>
        </references>
      </pivotArea>
    </chartFormat>
    <chartFormat chart="5" format="5">
      <pivotArea type="data" outline="0" fieldPosition="0">
        <references count="2">
          <reference field="4294967294" count="1" selected="0">
            <x v="0"/>
          </reference>
          <reference field="3" count="1" selected="0">
            <x v="4"/>
          </reference>
        </references>
      </pivotArea>
    </chartFormat>
    <chartFormat chart="8" format="12" series="1">
      <pivotArea type="data" outline="0" fieldPosition="0">
        <references count="1">
          <reference field="4294967294" count="1" selected="0">
            <x v="0"/>
          </reference>
        </references>
      </pivotArea>
    </chartFormat>
    <chartFormat chart="8" format="13">
      <pivotArea type="data" outline="0" fieldPosition="0">
        <references count="2">
          <reference field="4294967294" count="1" selected="0">
            <x v="0"/>
          </reference>
          <reference field="3" count="1" selected="0">
            <x v="0"/>
          </reference>
        </references>
      </pivotArea>
    </chartFormat>
    <chartFormat chart="8" format="14">
      <pivotArea type="data" outline="0" fieldPosition="0">
        <references count="2">
          <reference field="4294967294" count="1" selected="0">
            <x v="0"/>
          </reference>
          <reference field="3" count="1" selected="0">
            <x v="1"/>
          </reference>
        </references>
      </pivotArea>
    </chartFormat>
    <chartFormat chart="8" format="15">
      <pivotArea type="data" outline="0" fieldPosition="0">
        <references count="2">
          <reference field="4294967294" count="1" selected="0">
            <x v="0"/>
          </reference>
          <reference field="3" count="1" selected="0">
            <x v="2"/>
          </reference>
        </references>
      </pivotArea>
    </chartFormat>
    <chartFormat chart="8" format="16">
      <pivotArea type="data" outline="0" fieldPosition="0">
        <references count="2">
          <reference field="4294967294" count="1" selected="0">
            <x v="0"/>
          </reference>
          <reference field="3" count="1" selected="0">
            <x v="3"/>
          </reference>
        </references>
      </pivotArea>
    </chartFormat>
    <chartFormat chart="8" format="17">
      <pivotArea type="data" outline="0" fieldPosition="0">
        <references count="2">
          <reference field="4294967294" count="1" selected="0">
            <x v="0"/>
          </reference>
          <reference field="3" count="1" selected="0">
            <x v="4"/>
          </reference>
        </references>
      </pivotArea>
    </chartFormat>
  </chartFormats>
  <pivotTableStyleInfo name="PivotStyleLight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D790A56-F921-4352-932A-168011C292AF}" name="ptTopCo"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Name of company">
  <location ref="V7:W18" firstHeaderRow="1" firstDataRow="1" firstDataCol="1"/>
  <pivotFields count="11">
    <pivotField axis="axisRow" showAll="0" measureFilter="1" sortType="descending">
      <items count="701">
        <item x="614"/>
        <item x="146"/>
        <item x="307"/>
        <item x="163"/>
        <item x="647"/>
        <item x="399"/>
        <item x="676"/>
        <item x="30"/>
        <item x="71"/>
        <item x="121"/>
        <item x="689"/>
        <item x="134"/>
        <item x="3"/>
        <item x="295"/>
        <item x="418"/>
        <item x="65"/>
        <item x="272"/>
        <item x="285"/>
        <item x="635"/>
        <item x="631"/>
        <item x="524"/>
        <item x="7"/>
        <item x="239"/>
        <item x="604"/>
        <item x="243"/>
        <item x="487"/>
        <item x="165"/>
        <item x="611"/>
        <item x="93"/>
        <item x="698"/>
        <item x="407"/>
        <item x="626"/>
        <item x="599"/>
        <item x="493"/>
        <item x="429"/>
        <item x="24"/>
        <item x="182"/>
        <item x="62"/>
        <item x="339"/>
        <item x="669"/>
        <item x="54"/>
        <item x="640"/>
        <item x="382"/>
        <item x="437"/>
        <item x="309"/>
        <item x="283"/>
        <item x="475"/>
        <item x="354"/>
        <item x="459"/>
        <item x="516"/>
        <item x="366"/>
        <item x="41"/>
        <item x="417"/>
        <item x="620"/>
        <item x="95"/>
        <item x="561"/>
        <item x="297"/>
        <item x="668"/>
        <item x="52"/>
        <item x="160"/>
        <item x="523"/>
        <item x="497"/>
        <item x="270"/>
        <item x="244"/>
        <item x="216"/>
        <item x="441"/>
        <item x="271"/>
        <item x="426"/>
        <item x="650"/>
        <item x="77"/>
        <item x="482"/>
        <item x="581"/>
        <item x="400"/>
        <item x="483"/>
        <item x="674"/>
        <item x="589"/>
        <item x="496"/>
        <item x="612"/>
        <item x="566"/>
        <item x="547"/>
        <item x="194"/>
        <item x="636"/>
        <item x="642"/>
        <item x="337"/>
        <item x="521"/>
        <item x="607"/>
        <item x="543"/>
        <item x="654"/>
        <item x="300"/>
        <item x="587"/>
        <item x="490"/>
        <item x="446"/>
        <item x="63"/>
        <item x="56"/>
        <item x="255"/>
        <item x="576"/>
        <item x="323"/>
        <item x="200"/>
        <item x="425"/>
        <item x="318"/>
        <item x="600"/>
        <item x="315"/>
        <item x="343"/>
        <item x="156"/>
        <item x="73"/>
        <item x="657"/>
        <item x="469"/>
        <item x="452"/>
        <item x="262"/>
        <item x="36"/>
        <item x="605"/>
        <item x="545"/>
        <item x="456"/>
        <item x="463"/>
        <item x="690"/>
        <item x="569"/>
        <item x="33"/>
        <item x="159"/>
        <item x="685"/>
        <item x="234"/>
        <item x="435"/>
        <item x="34"/>
        <item x="192"/>
        <item x="473"/>
        <item x="107"/>
        <item x="275"/>
        <item x="412"/>
        <item x="292"/>
        <item x="324"/>
        <item x="150"/>
        <item x="602"/>
        <item x="39"/>
        <item x="522"/>
        <item x="346"/>
        <item x="479"/>
        <item x="205"/>
        <item x="60"/>
        <item x="352"/>
        <item x="598"/>
        <item x="696"/>
        <item x="618"/>
        <item x="303"/>
        <item x="448"/>
        <item x="97"/>
        <item x="175"/>
        <item x="248"/>
        <item x="549"/>
        <item x="94"/>
        <item x="544"/>
        <item x="98"/>
        <item x="563"/>
        <item x="574"/>
        <item x="209"/>
        <item x="619"/>
        <item x="419"/>
        <item x="564"/>
        <item x="552"/>
        <item x="319"/>
        <item x="485"/>
        <item x="47"/>
        <item x="304"/>
        <item x="595"/>
        <item x="336"/>
        <item x="381"/>
        <item x="280"/>
        <item x="460"/>
        <item x="38"/>
        <item x="639"/>
        <item x="140"/>
        <item x="6"/>
        <item x="253"/>
        <item x="565"/>
        <item x="310"/>
        <item x="398"/>
        <item x="11"/>
        <item x="66"/>
        <item x="312"/>
        <item x="679"/>
        <item x="455"/>
        <item x="663"/>
        <item x="238"/>
        <item x="258"/>
        <item x="321"/>
        <item x="440"/>
        <item x="356"/>
        <item x="531"/>
        <item x="279"/>
        <item x="633"/>
        <item x="148"/>
        <item x="168"/>
        <item x="225"/>
        <item x="147"/>
        <item x="609"/>
        <item x="251"/>
        <item x="252"/>
        <item x="20"/>
        <item x="450"/>
        <item x="601"/>
        <item x="673"/>
        <item x="155"/>
        <item x="78"/>
        <item x="131"/>
        <item x="476"/>
        <item x="49"/>
        <item x="68"/>
        <item x="520"/>
        <item x="240"/>
        <item x="616"/>
        <item x="512"/>
        <item x="568"/>
        <item x="562"/>
        <item x="519"/>
        <item x="503"/>
        <item x="434"/>
        <item x="528"/>
        <item x="699"/>
        <item x="80"/>
        <item x="115"/>
        <item x="340"/>
        <item x="13"/>
        <item x="42"/>
        <item x="143"/>
        <item x="197"/>
        <item x="514"/>
        <item x="276"/>
        <item x="172"/>
        <item x="362"/>
        <item x="233"/>
        <item x="325"/>
        <item x="25"/>
        <item x="659"/>
        <item x="167"/>
        <item x="584"/>
        <item x="474"/>
        <item x="44"/>
        <item x="226"/>
        <item x="219"/>
        <item x="322"/>
        <item x="596"/>
        <item x="257"/>
        <item x="218"/>
        <item x="157"/>
        <item x="266"/>
        <item x="637"/>
        <item x="378"/>
        <item x="449"/>
        <item x="74"/>
        <item x="681"/>
        <item x="342"/>
        <item x="113"/>
        <item x="555"/>
        <item x="102"/>
        <item x="648"/>
        <item x="683"/>
        <item x="23"/>
        <item x="556"/>
        <item x="592"/>
        <item x="577"/>
        <item x="105"/>
        <item x="100"/>
        <item x="394"/>
        <item x="379"/>
        <item x="383"/>
        <item x="302"/>
        <item x="671"/>
        <item x="141"/>
        <item x="510"/>
        <item x="535"/>
        <item x="178"/>
        <item x="664"/>
        <item x="21"/>
        <item x="26"/>
        <item x="269"/>
        <item x="132"/>
        <item x="122"/>
        <item x="682"/>
        <item x="61"/>
        <item x="495"/>
        <item x="179"/>
        <item x="353"/>
        <item x="344"/>
        <item x="518"/>
        <item x="174"/>
        <item x="85"/>
        <item x="411"/>
        <item x="184"/>
        <item x="693"/>
        <item x="265"/>
        <item x="14"/>
        <item x="377"/>
        <item x="260"/>
        <item x="46"/>
        <item x="29"/>
        <item x="245"/>
        <item x="484"/>
        <item x="232"/>
        <item x="406"/>
        <item x="317"/>
        <item x="486"/>
        <item x="16"/>
        <item x="537"/>
        <item x="467"/>
        <item x="691"/>
        <item x="424"/>
        <item x="489"/>
        <item x="408"/>
        <item x="51"/>
        <item x="1"/>
        <item x="375"/>
        <item x="553"/>
        <item x="296"/>
        <item x="453"/>
        <item x="436"/>
        <item x="529"/>
        <item x="298"/>
        <item x="166"/>
        <item x="421"/>
        <item x="557"/>
        <item x="90"/>
        <item x="560"/>
        <item x="0"/>
        <item x="558"/>
        <item x="371"/>
        <item x="511"/>
        <item x="249"/>
        <item x="83"/>
        <item x="670"/>
        <item x="286"/>
        <item x="364"/>
        <item x="579"/>
        <item x="443"/>
        <item x="311"/>
        <item x="438"/>
        <item x="210"/>
        <item x="513"/>
        <item x="506"/>
        <item x="665"/>
        <item x="692"/>
        <item x="384"/>
        <item x="687"/>
        <item x="630"/>
        <item x="72"/>
        <item x="392"/>
        <item x="660"/>
        <item x="128"/>
        <item x="594"/>
        <item x="499"/>
        <item x="661"/>
        <item x="231"/>
        <item x="457"/>
        <item x="501"/>
        <item x="28"/>
        <item x="420"/>
        <item x="672"/>
        <item x="374"/>
        <item x="603"/>
        <item x="656"/>
        <item x="627"/>
        <item x="87"/>
        <item x="395"/>
        <item x="123"/>
        <item x="368"/>
        <item x="328"/>
        <item x="48"/>
        <item x="534"/>
        <item x="461"/>
        <item x="250"/>
        <item x="502"/>
        <item x="466"/>
        <item x="301"/>
        <item x="227"/>
        <item x="480"/>
        <item x="153"/>
        <item x="180"/>
        <item x="289"/>
        <item x="472"/>
        <item x="470"/>
        <item x="22"/>
        <item x="500"/>
        <item x="120"/>
        <item x="53"/>
        <item x="104"/>
        <item x="185"/>
        <item x="573"/>
        <item x="171"/>
        <item x="288"/>
        <item x="695"/>
        <item x="416"/>
        <item x="402"/>
        <item x="423"/>
        <item x="628"/>
        <item x="477"/>
        <item x="468"/>
        <item x="492"/>
        <item x="32"/>
        <item x="268"/>
        <item x="154"/>
        <item x="658"/>
        <item x="667"/>
        <item x="8"/>
        <item x="433"/>
        <item x="331"/>
        <item x="164"/>
        <item x="451"/>
        <item x="409"/>
        <item x="70"/>
        <item x="586"/>
        <item x="313"/>
        <item x="204"/>
        <item x="360"/>
        <item x="81"/>
        <item x="177"/>
        <item x="137"/>
        <item x="118"/>
        <item x="181"/>
        <item x="359"/>
        <item x="187"/>
        <item x="223"/>
        <item x="5"/>
        <item x="427"/>
        <item x="293"/>
        <item x="651"/>
        <item x="643"/>
        <item x="173"/>
        <item x="488"/>
        <item x="390"/>
        <item x="45"/>
        <item x="199"/>
        <item x="201"/>
        <item x="15"/>
        <item x="345"/>
        <item x="99"/>
        <item x="195"/>
        <item x="169"/>
        <item x="505"/>
        <item x="291"/>
        <item x="403"/>
        <item x="641"/>
        <item x="653"/>
        <item x="55"/>
        <item x="84"/>
        <item x="126"/>
        <item x="274"/>
        <item x="447"/>
        <item x="615"/>
        <item x="222"/>
        <item x="588"/>
        <item x="273"/>
        <item x="677"/>
        <item x="357"/>
        <item x="88"/>
        <item x="40"/>
        <item x="31"/>
        <item x="389"/>
        <item x="170"/>
        <item x="444"/>
        <item x="196"/>
        <item x="112"/>
        <item x="610"/>
        <item x="655"/>
        <item x="183"/>
        <item x="101"/>
        <item x="355"/>
        <item x="373"/>
        <item x="540"/>
        <item x="666"/>
        <item x="462"/>
        <item x="622"/>
        <item x="57"/>
        <item x="67"/>
        <item x="152"/>
        <item x="119"/>
        <item x="214"/>
        <item x="358"/>
        <item x="59"/>
        <item x="432"/>
        <item x="526"/>
        <item x="230"/>
        <item x="606"/>
        <item x="19"/>
        <item x="229"/>
        <item x="224"/>
        <item x="590"/>
        <item x="464"/>
        <item x="116"/>
        <item x="349"/>
        <item x="2"/>
        <item x="458"/>
        <item x="190"/>
        <item x="247"/>
        <item x="386"/>
        <item x="410"/>
        <item x="92"/>
        <item x="109"/>
        <item x="308"/>
        <item x="221"/>
        <item x="37"/>
        <item x="686"/>
        <item x="106"/>
        <item x="256"/>
        <item x="127"/>
        <item x="267"/>
        <item x="290"/>
        <item x="110"/>
        <item x="138"/>
        <item x="129"/>
        <item x="264"/>
        <item x="43"/>
        <item x="585"/>
        <item x="414"/>
        <item x="282"/>
        <item x="254"/>
        <item x="430"/>
        <item x="176"/>
        <item x="350"/>
        <item x="551"/>
        <item x="638"/>
        <item x="79"/>
        <item x="124"/>
        <item x="294"/>
        <item x="530"/>
        <item x="645"/>
        <item x="86"/>
        <item x="367"/>
        <item x="64"/>
        <item x="662"/>
        <item x="261"/>
        <item x="191"/>
        <item x="617"/>
        <item x="76"/>
        <item x="186"/>
        <item x="212"/>
        <item x="507"/>
        <item x="242"/>
        <item x="646"/>
        <item x="332"/>
        <item x="211"/>
        <item x="533"/>
        <item x="320"/>
        <item x="263"/>
        <item x="481"/>
        <item x="125"/>
        <item x="422"/>
        <item x="634"/>
        <item x="442"/>
        <item x="259"/>
        <item x="193"/>
        <item x="632"/>
        <item x="613"/>
        <item x="385"/>
        <item x="697"/>
        <item x="567"/>
        <item x="215"/>
        <item x="158"/>
        <item x="348"/>
        <item x="652"/>
        <item x="539"/>
        <item x="629"/>
        <item x="478"/>
        <item x="135"/>
        <item x="644"/>
        <item x="305"/>
        <item x="694"/>
        <item x="235"/>
        <item x="149"/>
        <item x="10"/>
        <item x="684"/>
        <item x="548"/>
        <item x="89"/>
        <item x="525"/>
        <item x="541"/>
        <item x="188"/>
        <item x="208"/>
        <item x="103"/>
        <item x="388"/>
        <item x="517"/>
        <item x="508"/>
        <item x="4"/>
        <item x="341"/>
        <item x="413"/>
        <item x="397"/>
        <item x="471"/>
        <item x="351"/>
        <item x="75"/>
        <item x="91"/>
        <item x="554"/>
        <item x="678"/>
        <item x="509"/>
        <item x="327"/>
        <item x="281"/>
        <item x="404"/>
        <item x="498"/>
        <item x="284"/>
        <item x="207"/>
        <item x="114"/>
        <item x="532"/>
        <item x="69"/>
        <item x="241"/>
        <item x="391"/>
        <item x="597"/>
        <item x="198"/>
        <item x="363"/>
        <item x="220"/>
        <item x="117"/>
        <item x="439"/>
        <item x="330"/>
        <item x="688"/>
        <item x="578"/>
        <item x="393"/>
        <item x="139"/>
        <item x="536"/>
        <item x="365"/>
        <item x="396"/>
        <item x="133"/>
        <item x="582"/>
        <item x="278"/>
        <item x="236"/>
        <item x="108"/>
        <item x="335"/>
        <item x="583"/>
        <item x="491"/>
        <item x="465"/>
        <item x="58"/>
        <item x="306"/>
        <item x="237"/>
        <item x="144"/>
        <item x="538"/>
        <item x="559"/>
        <item x="203"/>
        <item x="314"/>
        <item x="415"/>
        <item x="428"/>
        <item x="9"/>
        <item x="380"/>
        <item x="625"/>
        <item x="202"/>
        <item x="151"/>
        <item x="550"/>
        <item x="546"/>
        <item x="621"/>
        <item x="111"/>
        <item x="680"/>
        <item x="82"/>
        <item x="623"/>
        <item x="370"/>
        <item x="405"/>
        <item x="494"/>
        <item x="515"/>
        <item x="50"/>
        <item x="316"/>
        <item x="228"/>
        <item x="504"/>
        <item x="575"/>
        <item x="593"/>
        <item x="445"/>
        <item x="675"/>
        <item x="142"/>
        <item x="161"/>
        <item x="347"/>
        <item x="542"/>
        <item x="12"/>
        <item x="18"/>
        <item x="217"/>
        <item x="326"/>
        <item x="454"/>
        <item x="649"/>
        <item x="130"/>
        <item x="431"/>
        <item x="591"/>
        <item x="571"/>
        <item x="206"/>
        <item x="372"/>
        <item x="338"/>
        <item x="608"/>
        <item x="35"/>
        <item x="369"/>
        <item x="570"/>
        <item x="401"/>
        <item x="299"/>
        <item x="246"/>
        <item x="572"/>
        <item x="136"/>
        <item x="162"/>
        <item x="96"/>
        <item x="580"/>
        <item x="329"/>
        <item x="287"/>
        <item x="189"/>
        <item x="213"/>
        <item x="376"/>
        <item x="334"/>
        <item x="527"/>
        <item x="361"/>
        <item x="277"/>
        <item x="333"/>
        <item x="624"/>
        <item x="27"/>
        <item x="17"/>
        <item x="387"/>
        <item x="145"/>
        <item t="default"/>
      </items>
      <autoSortScope>
        <pivotArea dataOnly="0" outline="0" fieldPosition="0">
          <references count="1">
            <reference field="4294967294" count="1" selected="0">
              <x v="0"/>
            </reference>
          </references>
        </pivotArea>
      </autoSortScope>
    </pivotField>
    <pivotField showAll="0">
      <items count="13">
        <item x="5"/>
        <item x="0"/>
        <item x="8"/>
        <item x="6"/>
        <item x="7"/>
        <item x="4"/>
        <item x="2"/>
        <item x="11"/>
        <item x="1"/>
        <item x="9"/>
        <item x="10"/>
        <item x="3"/>
        <item t="default"/>
      </items>
    </pivotField>
    <pivotField showAll="0">
      <items count="10">
        <item x="8"/>
        <item x="1"/>
        <item x="6"/>
        <item x="4"/>
        <item x="7"/>
        <item x="3"/>
        <item x="5"/>
        <item x="0"/>
        <item x="2"/>
        <item t="default"/>
      </items>
    </pivotField>
    <pivotField showAll="0">
      <items count="6">
        <item x="3"/>
        <item x="0"/>
        <item x="2"/>
        <item x="1"/>
        <item x="4"/>
        <item t="default"/>
      </items>
    </pivotField>
    <pivotField dataField="1" numFmtId="164" showAll="0"/>
    <pivotField numFmtId="165" showAll="0"/>
    <pivotField numFmtId="1" showAll="0">
      <items count="7">
        <item x="0"/>
        <item x="1"/>
        <item x="2"/>
        <item x="3"/>
        <item x="4"/>
        <item x="5"/>
        <item t="default"/>
      </items>
    </pivotField>
    <pivotField showAll="0"/>
    <pivotField numFmtId="1" showAll="0"/>
    <pivotField numFmtId="164" showAll="0"/>
    <pivotField numFmtId="3" showAll="0"/>
  </pivotFields>
  <rowFields count="1">
    <field x="0"/>
  </rowFields>
  <rowItems count="11">
    <i>
      <x v="477"/>
    </i>
    <i>
      <x v="8"/>
    </i>
    <i>
      <x v="89"/>
    </i>
    <i>
      <x v="439"/>
    </i>
    <i>
      <x v="172"/>
    </i>
    <i>
      <x v="249"/>
    </i>
    <i>
      <x v="189"/>
    </i>
    <i>
      <x v="563"/>
    </i>
    <i>
      <x v="418"/>
    </i>
    <i>
      <x v="84"/>
    </i>
    <i t="grand">
      <x/>
    </i>
  </rowItems>
  <colItems count="1">
    <i/>
  </colItems>
  <dataFields count="1">
    <dataField name="Funding" fld="4" baseField="0" baseItem="0" numFmtId="164"/>
  </dataFields>
  <formats count="10">
    <format dxfId="42">
      <pivotArea type="all" dataOnly="0" outline="0" fieldPosition="0"/>
    </format>
    <format dxfId="41">
      <pivotArea outline="0" collapsedLevelsAreSubtotals="1" fieldPosition="0"/>
    </format>
    <format dxfId="40">
      <pivotArea field="0" type="button" dataOnly="0" labelOnly="1" outline="0" axis="axisRow" fieldPosition="0"/>
    </format>
    <format dxfId="39">
      <pivotArea dataOnly="0" labelOnly="1" fieldPosition="0">
        <references count="1">
          <reference field="0" count="10">
            <x v="8"/>
            <x v="84"/>
            <x v="89"/>
            <x v="172"/>
            <x v="189"/>
            <x v="249"/>
            <x v="418"/>
            <x v="439"/>
            <x v="477"/>
            <x v="563"/>
          </reference>
        </references>
      </pivotArea>
    </format>
    <format dxfId="38">
      <pivotArea dataOnly="0" labelOnly="1" grandRow="1" outline="0" fieldPosition="0"/>
    </format>
    <format dxfId="37">
      <pivotArea dataOnly="0" labelOnly="1" outline="0" axis="axisValues" fieldPosition="0"/>
    </format>
    <format dxfId="17">
      <pivotArea field="0" type="button" dataOnly="0" labelOnly="1" outline="0" axis="axisRow" fieldPosition="0"/>
    </format>
    <format dxfId="16">
      <pivotArea dataOnly="0" labelOnly="1" outline="0" axis="axisValues" fieldPosition="0"/>
    </format>
    <format dxfId="1">
      <pivotArea field="0" type="button" dataOnly="0" labelOnly="1" outline="0" axis="axisRow" fieldPosition="0"/>
    </format>
    <format dxfId="0">
      <pivotArea dataOnly="0" labelOnly="1" outline="0" axis="axisValues" fieldPosition="0"/>
    </format>
  </formats>
  <chartFormats count="4">
    <chartFormat chart="0" format="1"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0"/>
          </reference>
        </references>
      </pivotArea>
    </chartFormat>
  </chartFormats>
  <pivotTableStyleInfo name="PivotStyleLight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6B4DC7A-0DA4-4765-83BF-74DD3FAE2915}" name="ptSecC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Sectors">
  <location ref="R7:S20" firstHeaderRow="1" firstDataRow="1" firstDataCol="1"/>
  <pivotFields count="11">
    <pivotField dataField="1" showAll="0"/>
    <pivotField axis="axisRow" showAll="0" sortType="descending">
      <items count="13">
        <item x="5"/>
        <item x="0"/>
        <item x="8"/>
        <item x="6"/>
        <item x="7"/>
        <item x="4"/>
        <item x="2"/>
        <item x="11"/>
        <item x="1"/>
        <item x="9"/>
        <item x="10"/>
        <item x="3"/>
        <item t="default"/>
      </items>
      <autoSortScope>
        <pivotArea dataOnly="0" outline="0" fieldPosition="0">
          <references count="1">
            <reference field="4294967294" count="1" selected="0">
              <x v="0"/>
            </reference>
          </references>
        </pivotArea>
      </autoSortScope>
    </pivotField>
    <pivotField showAll="0">
      <items count="10">
        <item x="8"/>
        <item x="1"/>
        <item x="6"/>
        <item x="4"/>
        <item x="7"/>
        <item x="3"/>
        <item x="5"/>
        <item x="0"/>
        <item x="2"/>
        <item t="default"/>
      </items>
    </pivotField>
    <pivotField showAll="0">
      <items count="6">
        <item x="3"/>
        <item x="0"/>
        <item x="2"/>
        <item x="1"/>
        <item x="4"/>
        <item t="default"/>
      </items>
    </pivotField>
    <pivotField numFmtId="164" showAll="0"/>
    <pivotField numFmtId="165" showAll="0"/>
    <pivotField numFmtId="1" showAll="0">
      <items count="7">
        <item x="0"/>
        <item x="1"/>
        <item x="2"/>
        <item x="3"/>
        <item x="4"/>
        <item x="5"/>
        <item t="default"/>
      </items>
    </pivotField>
    <pivotField showAll="0"/>
    <pivotField numFmtId="1" showAll="0"/>
    <pivotField numFmtId="164" showAll="0"/>
    <pivotField numFmtId="3" showAll="0"/>
  </pivotFields>
  <rowFields count="1">
    <field x="1"/>
  </rowFields>
  <rowItems count="13">
    <i>
      <x v="5"/>
    </i>
    <i>
      <x v="11"/>
    </i>
    <i>
      <x v="3"/>
    </i>
    <i>
      <x v="8"/>
    </i>
    <i>
      <x v="4"/>
    </i>
    <i>
      <x v="1"/>
    </i>
    <i>
      <x v="9"/>
    </i>
    <i>
      <x v="6"/>
    </i>
    <i>
      <x/>
    </i>
    <i>
      <x v="10"/>
    </i>
    <i>
      <x v="7"/>
    </i>
    <i>
      <x v="2"/>
    </i>
    <i t="grand">
      <x/>
    </i>
  </rowItems>
  <colItems count="1">
    <i/>
  </colItems>
  <dataFields count="1">
    <dataField name="Deals" fld="0" subtotal="count" baseField="0" baseItem="0"/>
  </dataFields>
  <formats count="10">
    <format dxfId="48">
      <pivotArea type="all" dataOnly="0" outline="0" fieldPosition="0"/>
    </format>
    <format dxfId="47">
      <pivotArea outline="0" collapsedLevelsAreSubtotals="1" fieldPosition="0"/>
    </format>
    <format dxfId="46">
      <pivotArea field="1" type="button" dataOnly="0" labelOnly="1" outline="0" axis="axisRow" fieldPosition="0"/>
    </format>
    <format dxfId="45">
      <pivotArea dataOnly="0" labelOnly="1" fieldPosition="0">
        <references count="1">
          <reference field="1" count="0"/>
        </references>
      </pivotArea>
    </format>
    <format dxfId="44">
      <pivotArea dataOnly="0" labelOnly="1" grandRow="1" outline="0" fieldPosition="0"/>
    </format>
    <format dxfId="43">
      <pivotArea dataOnly="0" labelOnly="1" outline="0" axis="axisValues" fieldPosition="0"/>
    </format>
    <format dxfId="19">
      <pivotArea field="1" type="button" dataOnly="0" labelOnly="1" outline="0" axis="axisRow" fieldPosition="0"/>
    </format>
    <format dxfId="18">
      <pivotArea dataOnly="0" labelOnly="1" outline="0" axis="axisValues" fieldPosition="0"/>
    </format>
    <format dxfId="3">
      <pivotArea field="1" type="button" dataOnly="0" labelOnly="1" outline="0" axis="axisRow" fieldPosition="0"/>
    </format>
    <format dxfId="2">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15C0DCA-CA84-4D7A-92F9-C2E0E388A1FF}" name="ptK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27:L28" firstHeaderRow="1" firstDataRow="1" firstDataCol="0"/>
  <pivotFields count="11">
    <pivotField showAll="0"/>
    <pivotField showAll="0">
      <items count="13">
        <item x="5"/>
        <item x="0"/>
        <item x="8"/>
        <item x="6"/>
        <item x="7"/>
        <item x="4"/>
        <item x="2"/>
        <item x="11"/>
        <item x="1"/>
        <item x="9"/>
        <item x="10"/>
        <item x="3"/>
        <item t="default"/>
      </items>
    </pivotField>
    <pivotField showAll="0">
      <items count="10">
        <item x="8"/>
        <item x="1"/>
        <item x="6"/>
        <item x="4"/>
        <item x="7"/>
        <item x="3"/>
        <item x="5"/>
        <item x="0"/>
        <item x="2"/>
        <item t="default"/>
      </items>
    </pivotField>
    <pivotField showAll="0">
      <items count="6">
        <item x="3"/>
        <item x="0"/>
        <item x="2"/>
        <item x="1"/>
        <item x="4"/>
        <item t="default"/>
      </items>
    </pivotField>
    <pivotField numFmtId="164" showAll="0"/>
    <pivotField numFmtId="165" showAll="0"/>
    <pivotField numFmtId="1" showAll="0">
      <items count="7">
        <item x="0"/>
        <item x="1"/>
        <item x="2"/>
        <item x="3"/>
        <item x="4"/>
        <item x="5"/>
        <item t="default"/>
      </items>
    </pivotField>
    <pivotField showAll="0"/>
    <pivotField numFmtId="1" showAll="0"/>
    <pivotField dataField="1" numFmtId="164" showAll="0"/>
    <pivotField numFmtId="3" showAll="0"/>
  </pivotFields>
  <rowItems count="1">
    <i/>
  </rowItems>
  <colItems count="1">
    <i/>
  </colItems>
  <dataFields count="1">
    <dataField name="TotVal" fld="9" baseField="0" baseItem="0" numFmtId="164"/>
  </dataFields>
  <formats count="4">
    <format dxfId="51">
      <pivotArea type="all" dataOnly="0" outline="0" fieldPosition="0"/>
    </format>
    <format dxfId="50">
      <pivotArea outline="0" collapsedLevelsAreSubtotals="1" fieldPosition="0"/>
    </format>
    <format dxfId="49">
      <pivotArea dataOnly="0" labelOnly="1" outline="0" axis="axisValues" fieldPosition="0"/>
    </format>
    <format dxfId="14">
      <pivotArea dataOnly="0" labelOnly="1" outline="0" axis="axisValues" fieldPosition="0"/>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C55021-192B-4855-8944-AA832CE89A89}" name="ptCit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City">
  <location ref="N7:O17" firstHeaderRow="1" firstDataRow="1" firstDataCol="1"/>
  <pivotFields count="11">
    <pivotField showAll="0"/>
    <pivotField showAll="0">
      <items count="13">
        <item x="5"/>
        <item x="0"/>
        <item x="8"/>
        <item x="6"/>
        <item x="7"/>
        <item x="4"/>
        <item x="2"/>
        <item x="11"/>
        <item x="1"/>
        <item x="9"/>
        <item x="10"/>
        <item x="3"/>
        <item t="default"/>
      </items>
    </pivotField>
    <pivotField axis="axisRow" showAll="0" sortType="descending">
      <items count="10">
        <item x="8"/>
        <item x="1"/>
        <item x="6"/>
        <item x="4"/>
        <item x="7"/>
        <item x="3"/>
        <item x="5"/>
        <item x="0"/>
        <item x="2"/>
        <item t="default"/>
      </items>
      <autoSortScope>
        <pivotArea dataOnly="0" outline="0" fieldPosition="0">
          <references count="1">
            <reference field="4294967294" count="1" selected="0">
              <x v="0"/>
            </reference>
          </references>
        </pivotArea>
      </autoSortScope>
    </pivotField>
    <pivotField showAll="0">
      <items count="6">
        <item x="3"/>
        <item x="0"/>
        <item x="2"/>
        <item x="1"/>
        <item x="4"/>
        <item t="default"/>
      </items>
    </pivotField>
    <pivotField dataField="1" numFmtId="164" showAll="0"/>
    <pivotField numFmtId="165" showAll="0"/>
    <pivotField numFmtId="1" showAll="0">
      <items count="7">
        <item x="0"/>
        <item x="1"/>
        <item x="2"/>
        <item x="3"/>
        <item x="4"/>
        <item x="5"/>
        <item t="default"/>
      </items>
    </pivotField>
    <pivotField showAll="0"/>
    <pivotField numFmtId="1" showAll="0"/>
    <pivotField numFmtId="164" showAll="0"/>
    <pivotField numFmtId="3" showAll="0"/>
  </pivotFields>
  <rowFields count="1">
    <field x="2"/>
  </rowFields>
  <rowItems count="10">
    <i>
      <x v="1"/>
    </i>
    <i>
      <x v="3"/>
    </i>
    <i>
      <x v="7"/>
    </i>
    <i>
      <x v="4"/>
    </i>
    <i>
      <x v="8"/>
    </i>
    <i>
      <x v="2"/>
    </i>
    <i>
      <x/>
    </i>
    <i>
      <x v="6"/>
    </i>
    <i>
      <x v="5"/>
    </i>
    <i t="grand">
      <x/>
    </i>
  </rowItems>
  <colItems count="1">
    <i/>
  </colItems>
  <dataFields count="1">
    <dataField name="Funding" fld="4" baseField="0" baseItem="0" numFmtId="164"/>
  </dataFields>
  <formats count="10">
    <format dxfId="57">
      <pivotArea type="all" dataOnly="0" outline="0" fieldPosition="0"/>
    </format>
    <format dxfId="56">
      <pivotArea outline="0" collapsedLevelsAreSubtotals="1" fieldPosition="0"/>
    </format>
    <format dxfId="55">
      <pivotArea field="2" type="button" dataOnly="0" labelOnly="1" outline="0" axis="axisRow" fieldPosition="0"/>
    </format>
    <format dxfId="54">
      <pivotArea dataOnly="0" labelOnly="1" fieldPosition="0">
        <references count="1">
          <reference field="2" count="0"/>
        </references>
      </pivotArea>
    </format>
    <format dxfId="53">
      <pivotArea dataOnly="0" labelOnly="1" grandRow="1" outline="0" fieldPosition="0"/>
    </format>
    <format dxfId="52">
      <pivotArea dataOnly="0" labelOnly="1" outline="0" axis="axisValues" fieldPosition="0"/>
    </format>
    <format dxfId="21">
      <pivotArea field="2" type="button" dataOnly="0" labelOnly="1" outline="0" axis="axisRow" fieldPosition="0"/>
    </format>
    <format dxfId="20">
      <pivotArea dataOnly="0" labelOnly="1" outline="0" axis="axisValues" fieldPosition="0"/>
    </format>
    <format dxfId="5">
      <pivotArea field="2" type="button" dataOnly="0" labelOnly="1" outline="0" axis="axisRow" fieldPosition="0"/>
    </format>
    <format dxfId="4">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D4421CA-87FB-4376-BA40-475FA7588F73}" name="ptK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27:F28" firstHeaderRow="1" firstDataRow="1" firstDataCol="0"/>
  <pivotFields count="11">
    <pivotField dataField="1" showAll="0"/>
    <pivotField showAll="0">
      <items count="13">
        <item x="5"/>
        <item x="0"/>
        <item x="8"/>
        <item x="6"/>
        <item x="7"/>
        <item x="4"/>
        <item x="2"/>
        <item x="11"/>
        <item x="1"/>
        <item x="9"/>
        <item x="10"/>
        <item x="3"/>
        <item t="default"/>
      </items>
    </pivotField>
    <pivotField showAll="0">
      <items count="10">
        <item x="8"/>
        <item x="1"/>
        <item x="6"/>
        <item x="4"/>
        <item x="7"/>
        <item x="3"/>
        <item x="5"/>
        <item x="0"/>
        <item x="2"/>
        <item t="default"/>
      </items>
    </pivotField>
    <pivotField showAll="0">
      <items count="6">
        <item x="3"/>
        <item x="0"/>
        <item x="2"/>
        <item x="1"/>
        <item x="4"/>
        <item t="default"/>
      </items>
    </pivotField>
    <pivotField numFmtId="164" showAll="0"/>
    <pivotField numFmtId="165" showAll="0"/>
    <pivotField numFmtId="1" showAll="0">
      <items count="7">
        <item x="0"/>
        <item x="1"/>
        <item x="2"/>
        <item x="3"/>
        <item x="4"/>
        <item x="5"/>
        <item t="default"/>
      </items>
    </pivotField>
    <pivotField showAll="0"/>
    <pivotField numFmtId="1" showAll="0"/>
    <pivotField numFmtId="164" showAll="0"/>
    <pivotField numFmtId="3" showAll="0"/>
  </pivotFields>
  <rowItems count="1">
    <i/>
  </rowItems>
  <colItems count="1">
    <i/>
  </colItems>
  <dataFields count="1">
    <dataField name="Deals" fld="0" subtotal="count" baseField="0" baseItem="0"/>
  </dataFields>
  <formats count="4">
    <format dxfId="60">
      <pivotArea type="all" dataOnly="0" outline="0" fieldPosition="0"/>
    </format>
    <format dxfId="59">
      <pivotArea outline="0" collapsedLevelsAreSubtotals="1" fieldPosition="0"/>
    </format>
    <format dxfId="58">
      <pivotArea dataOnly="0" labelOnly="1" outline="0" axis="axisValues" fieldPosition="0"/>
    </format>
    <format dxfId="13">
      <pivotArea dataOnly="0" labelOnly="1" outline="0" axis="axisValues" fieldPosition="0"/>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D2CE751-4775-4A4B-B6F8-6949C080DFA9}" name="ptK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27:O28" firstHeaderRow="1" firstDataRow="1" firstDataCol="0"/>
  <pivotFields count="11">
    <pivotField showAll="0"/>
    <pivotField showAll="0">
      <items count="13">
        <item x="5"/>
        <item x="0"/>
        <item x="8"/>
        <item x="6"/>
        <item x="7"/>
        <item x="4"/>
        <item x="2"/>
        <item x="11"/>
        <item x="1"/>
        <item x="9"/>
        <item x="10"/>
        <item x="3"/>
        <item t="default"/>
      </items>
    </pivotField>
    <pivotField showAll="0">
      <items count="10">
        <item x="8"/>
        <item x="1"/>
        <item x="6"/>
        <item x="4"/>
        <item x="7"/>
        <item x="3"/>
        <item x="5"/>
        <item x="0"/>
        <item x="2"/>
        <item t="default"/>
      </items>
    </pivotField>
    <pivotField showAll="0">
      <items count="6">
        <item x="3"/>
        <item x="0"/>
        <item x="2"/>
        <item x="1"/>
        <item x="4"/>
        <item t="default"/>
      </items>
    </pivotField>
    <pivotField dataField="1" numFmtId="164" showAll="0"/>
    <pivotField numFmtId="165" showAll="0"/>
    <pivotField numFmtId="1" showAll="0">
      <items count="7">
        <item x="0"/>
        <item x="1"/>
        <item x="2"/>
        <item x="3"/>
        <item x="4"/>
        <item x="5"/>
        <item t="default"/>
      </items>
    </pivotField>
    <pivotField showAll="0"/>
    <pivotField numFmtId="1" showAll="0"/>
    <pivotField numFmtId="164" showAll="0"/>
    <pivotField numFmtId="3" showAll="0"/>
  </pivotFields>
  <rowItems count="1">
    <i/>
  </rowItems>
  <colItems count="1">
    <i/>
  </colItems>
  <dataFields count="1">
    <dataField name="MaxDeal" fld="4" subtotal="max" baseField="0" baseItem="0" numFmtId="164"/>
  </dataFields>
  <formats count="4">
    <format dxfId="63">
      <pivotArea type="all" dataOnly="0" outline="0" fieldPosition="0"/>
    </format>
    <format dxfId="62">
      <pivotArea outline="0" collapsedLevelsAreSubtotals="1" fieldPosition="0"/>
    </format>
    <format dxfId="61">
      <pivotArea dataOnly="0" labelOnly="1" outline="0" axis="axisValues" fieldPosition="0"/>
    </format>
    <format dxfId="12">
      <pivotArea dataOnly="0" labelOnly="1" outline="0" axis="axisValues" fieldPosition="0"/>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B730593-754B-40CF-BF92-762B09C7EBC5}" name="ptYea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years">
  <location ref="J7:K14" firstHeaderRow="1" firstDataRow="1" firstDataCol="1"/>
  <pivotFields count="11">
    <pivotField showAll="0"/>
    <pivotField showAll="0">
      <items count="13">
        <item x="5"/>
        <item x="0"/>
        <item x="8"/>
        <item x="6"/>
        <item x="7"/>
        <item x="4"/>
        <item x="2"/>
        <item x="11"/>
        <item x="1"/>
        <item x="9"/>
        <item x="10"/>
        <item x="3"/>
        <item t="default"/>
      </items>
    </pivotField>
    <pivotField showAll="0">
      <items count="10">
        <item x="8"/>
        <item x="1"/>
        <item x="6"/>
        <item x="4"/>
        <item x="7"/>
        <item x="3"/>
        <item x="5"/>
        <item x="0"/>
        <item x="2"/>
        <item t="default"/>
      </items>
    </pivotField>
    <pivotField showAll="0">
      <items count="6">
        <item x="3"/>
        <item x="0"/>
        <item x="2"/>
        <item x="1"/>
        <item x="4"/>
        <item t="default"/>
      </items>
    </pivotField>
    <pivotField dataField="1" numFmtId="164" showAll="0"/>
    <pivotField numFmtId="165" showAll="0"/>
    <pivotField axis="axisRow" numFmtId="1" showAll="0">
      <items count="7">
        <item x="0"/>
        <item x="1"/>
        <item x="2"/>
        <item x="3"/>
        <item x="4"/>
        <item x="5"/>
        <item t="default"/>
      </items>
    </pivotField>
    <pivotField showAll="0"/>
    <pivotField numFmtId="1" showAll="0"/>
    <pivotField numFmtId="164" showAll="0"/>
    <pivotField numFmtId="3" showAll="0"/>
  </pivotFields>
  <rowFields count="1">
    <field x="6"/>
  </rowFields>
  <rowItems count="7">
    <i>
      <x/>
    </i>
    <i>
      <x v="1"/>
    </i>
    <i>
      <x v="2"/>
    </i>
    <i>
      <x v="3"/>
    </i>
    <i>
      <x v="4"/>
    </i>
    <i>
      <x v="5"/>
    </i>
    <i t="grand">
      <x/>
    </i>
  </rowItems>
  <colItems count="1">
    <i/>
  </colItems>
  <dataFields count="1">
    <dataField name="Funding" fld="4" baseField="0" baseItem="0" numFmtId="164"/>
  </dataFields>
  <formats count="10">
    <format dxfId="69">
      <pivotArea type="all" dataOnly="0" outline="0" fieldPosition="0"/>
    </format>
    <format dxfId="68">
      <pivotArea outline="0" collapsedLevelsAreSubtotals="1" fieldPosition="0"/>
    </format>
    <format dxfId="67">
      <pivotArea field="6" type="button" dataOnly="0" labelOnly="1" outline="0" axis="axisRow" fieldPosition="0"/>
    </format>
    <format dxfId="66">
      <pivotArea dataOnly="0" labelOnly="1" fieldPosition="0">
        <references count="1">
          <reference field="6" count="0"/>
        </references>
      </pivotArea>
    </format>
    <format dxfId="65">
      <pivotArea dataOnly="0" labelOnly="1" grandRow="1" outline="0" fieldPosition="0"/>
    </format>
    <format dxfId="64">
      <pivotArea dataOnly="0" labelOnly="1" outline="0" axis="axisValues" fieldPosition="0"/>
    </format>
    <format dxfId="23">
      <pivotArea field="6" type="button" dataOnly="0" labelOnly="1" outline="0" axis="axisRow" fieldPosition="0"/>
    </format>
    <format dxfId="22">
      <pivotArea dataOnly="0" labelOnly="1" outline="0" axis="axisValues" fieldPosition="0"/>
    </format>
    <format dxfId="7">
      <pivotArea field="6" type="button" dataOnly="0" labelOnly="1" outline="0" axis="axisRow" fieldPosition="0"/>
    </format>
    <format dxfId="6">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F0B131D-29E9-42A8-842E-B59AC721BB5E}" name="ptK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27:C28" firstHeaderRow="1" firstDataRow="1" firstDataCol="0"/>
  <pivotFields count="11">
    <pivotField showAll="0"/>
    <pivotField showAll="0">
      <items count="13">
        <item x="5"/>
        <item x="0"/>
        <item x="8"/>
        <item x="6"/>
        <item x="7"/>
        <item x="4"/>
        <item x="2"/>
        <item x="11"/>
        <item x="1"/>
        <item x="9"/>
        <item x="10"/>
        <item x="3"/>
        <item t="default"/>
      </items>
    </pivotField>
    <pivotField showAll="0">
      <items count="10">
        <item x="8"/>
        <item x="1"/>
        <item x="6"/>
        <item x="4"/>
        <item x="7"/>
        <item x="3"/>
        <item x="5"/>
        <item x="0"/>
        <item x="2"/>
        <item t="default"/>
      </items>
    </pivotField>
    <pivotField showAll="0">
      <items count="6">
        <item x="3"/>
        <item x="0"/>
        <item x="2"/>
        <item x="1"/>
        <item x="4"/>
        <item t="default"/>
      </items>
    </pivotField>
    <pivotField dataField="1" numFmtId="164" showAll="0"/>
    <pivotField numFmtId="165" showAll="0"/>
    <pivotField numFmtId="1" showAll="0">
      <items count="7">
        <item x="0"/>
        <item x="1"/>
        <item x="2"/>
        <item x="3"/>
        <item x="4"/>
        <item x="5"/>
        <item t="default"/>
      </items>
    </pivotField>
    <pivotField showAll="0"/>
    <pivotField numFmtId="1" showAll="0"/>
    <pivotField numFmtId="164" showAll="0"/>
    <pivotField numFmtId="3" showAll="0"/>
  </pivotFields>
  <rowItems count="1">
    <i/>
  </rowItems>
  <colItems count="1">
    <i/>
  </colItems>
  <dataFields count="1">
    <dataField name="TotFund" fld="4" baseField="0" baseItem="0" numFmtId="164"/>
  </dataFields>
  <formats count="4">
    <format dxfId="72">
      <pivotArea type="all" dataOnly="0" outline="0" fieldPosition="0"/>
    </format>
    <format dxfId="71">
      <pivotArea outline="0" collapsedLevelsAreSubtotals="1" fieldPosition="0"/>
    </format>
    <format dxfId="70">
      <pivotArea dataOnly="0" labelOnly="1" outline="0" axis="axisValues" fieldPosition="0"/>
    </format>
    <format dxfId="11">
      <pivotArea dataOnly="0" labelOnly="1" outline="0" axis="axisValues" fieldPosition="0"/>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80BDFCE-9838-4561-93ED-F2152EC91E5A}" name="ptSecto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Sector">
  <location ref="B7:C20" firstHeaderRow="1" firstDataRow="1" firstDataCol="1"/>
  <pivotFields count="11">
    <pivotField showAll="0"/>
    <pivotField axis="axisRow" showAll="0" sortType="descending">
      <items count="13">
        <item x="5"/>
        <item x="0"/>
        <item x="8"/>
        <item x="6"/>
        <item x="7"/>
        <item x="4"/>
        <item x="2"/>
        <item x="11"/>
        <item x="1"/>
        <item x="9"/>
        <item x="10"/>
        <item x="3"/>
        <item t="default"/>
      </items>
      <autoSortScope>
        <pivotArea dataOnly="0" outline="0" fieldPosition="0">
          <references count="1">
            <reference field="4294967294" count="1" selected="0">
              <x v="0"/>
            </reference>
          </references>
        </pivotArea>
      </autoSortScope>
    </pivotField>
    <pivotField showAll="0">
      <items count="10">
        <item x="8"/>
        <item x="1"/>
        <item x="6"/>
        <item x="4"/>
        <item x="7"/>
        <item x="3"/>
        <item x="5"/>
        <item x="0"/>
        <item x="2"/>
        <item t="default"/>
      </items>
    </pivotField>
    <pivotField showAll="0">
      <items count="6">
        <item x="3"/>
        <item x="0"/>
        <item x="2"/>
        <item x="1"/>
        <item x="4"/>
        <item t="default"/>
      </items>
    </pivotField>
    <pivotField dataField="1" numFmtId="164" showAll="0"/>
    <pivotField numFmtId="165" showAll="0"/>
    <pivotField numFmtId="1" showAll="0">
      <items count="7">
        <item x="0"/>
        <item x="1"/>
        <item x="2"/>
        <item x="3"/>
        <item x="4"/>
        <item x="5"/>
        <item t="default"/>
      </items>
    </pivotField>
    <pivotField showAll="0"/>
    <pivotField numFmtId="1" showAll="0"/>
    <pivotField numFmtId="164" showAll="0"/>
    <pivotField numFmtId="3" showAll="0"/>
  </pivotFields>
  <rowFields count="1">
    <field x="1"/>
  </rowFields>
  <rowItems count="13">
    <i>
      <x v="3"/>
    </i>
    <i>
      <x v="5"/>
    </i>
    <i>
      <x v="8"/>
    </i>
    <i>
      <x v="11"/>
    </i>
    <i>
      <x v="4"/>
    </i>
    <i>
      <x v="1"/>
    </i>
    <i>
      <x v="6"/>
    </i>
    <i>
      <x v="9"/>
    </i>
    <i>
      <x v="10"/>
    </i>
    <i>
      <x/>
    </i>
    <i>
      <x v="2"/>
    </i>
    <i>
      <x v="7"/>
    </i>
    <i t="grand">
      <x/>
    </i>
  </rowItems>
  <colItems count="1">
    <i/>
  </colItems>
  <dataFields count="1">
    <dataField name="Total Funding" fld="4" baseField="0" baseItem="0" numFmtId="164"/>
  </dataFields>
  <formats count="8">
    <format dxfId="78">
      <pivotArea type="all" dataOnly="0" outline="0" fieldPosition="0"/>
    </format>
    <format dxfId="77">
      <pivotArea outline="0" collapsedLevelsAreSubtotals="1" fieldPosition="0"/>
    </format>
    <format dxfId="76">
      <pivotArea field="1" type="button" dataOnly="0" labelOnly="1" outline="0" axis="axisRow" fieldPosition="0"/>
    </format>
    <format dxfId="75">
      <pivotArea dataOnly="0" labelOnly="1" fieldPosition="0">
        <references count="1">
          <reference field="1" count="0"/>
        </references>
      </pivotArea>
    </format>
    <format dxfId="74">
      <pivotArea dataOnly="0" labelOnly="1" grandRow="1" outline="0" fieldPosition="0"/>
    </format>
    <format dxfId="73">
      <pivotArea dataOnly="0" labelOnly="1" outline="0" axis="axisValues" fieldPosition="0"/>
    </format>
    <format dxfId="27">
      <pivotArea field="1" type="button" dataOnly="0" labelOnly="1" outline="0" axis="axisRow" fieldPosition="0"/>
    </format>
    <format dxfId="26">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1A93D52-212C-4B47-8423-4E2B200A05BF}" name="ptK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R27:R28" firstHeaderRow="1" firstDataRow="1" firstDataCol="0"/>
  <pivotFields count="11">
    <pivotField showAll="0"/>
    <pivotField showAll="0">
      <items count="13">
        <item x="5"/>
        <item x="0"/>
        <item x="8"/>
        <item x="6"/>
        <item x="7"/>
        <item x="4"/>
        <item x="2"/>
        <item x="11"/>
        <item x="1"/>
        <item x="9"/>
        <item x="10"/>
        <item x="3"/>
        <item t="default"/>
      </items>
    </pivotField>
    <pivotField showAll="0">
      <items count="10">
        <item x="8"/>
        <item x="1"/>
        <item x="6"/>
        <item x="4"/>
        <item x="7"/>
        <item x="3"/>
        <item x="5"/>
        <item x="0"/>
        <item x="2"/>
        <item t="default"/>
      </items>
    </pivotField>
    <pivotField showAll="0">
      <items count="6">
        <item x="3"/>
        <item x="0"/>
        <item x="2"/>
        <item x="1"/>
        <item x="4"/>
        <item t="default"/>
      </items>
    </pivotField>
    <pivotField numFmtId="164" showAll="0"/>
    <pivotField numFmtId="165" showAll="0"/>
    <pivotField numFmtId="1" showAll="0">
      <items count="7">
        <item x="0"/>
        <item x="1"/>
        <item x="2"/>
        <item x="3"/>
        <item x="4"/>
        <item x="5"/>
        <item t="default"/>
      </items>
    </pivotField>
    <pivotField showAll="0"/>
    <pivotField numFmtId="1" showAll="0"/>
    <pivotField numFmtId="164" showAll="0"/>
    <pivotField dataField="1" numFmtId="3" showAll="0"/>
  </pivotFields>
  <rowItems count="1">
    <i/>
  </rowItems>
  <colItems count="1">
    <i/>
  </colItems>
  <dataFields count="1">
    <dataField name="TotEmp" fld="10" baseField="0" baseItem="0" numFmtId="3"/>
  </dataFields>
  <formats count="4">
    <format dxfId="81">
      <pivotArea type="all" dataOnly="0" outline="0" fieldPosition="0"/>
    </format>
    <format dxfId="80">
      <pivotArea outline="0" collapsedLevelsAreSubtotals="1" fieldPosition="0"/>
    </format>
    <format dxfId="79">
      <pivotArea dataOnly="0" labelOnly="1" outline="0" axis="axisValues" fieldPosition="0"/>
    </format>
    <format dxfId="10">
      <pivotArea dataOnly="0" labelOnly="1" outline="0" axis="axisValues" fieldPosition="0"/>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ctor" xr10:uid="{2840ABD6-B37C-4670-8BDF-34E76FC3A5A8}" sourceName="Sector">
  <pivotTables>
    <pivotTable tabId="12" name="ptSector"/>
    <pivotTable tabId="12" name="ptStage"/>
    <pivotTable tabId="12" name="ptYear"/>
    <pivotTable tabId="12" name="ptCity"/>
    <pivotTable tabId="12" name="ptSecCnt"/>
    <pivotTable tabId="12" name="ptTopCo"/>
    <pivotTable tabId="12" name="ptK1"/>
    <pivotTable tabId="12" name="ptK2"/>
    <pivotTable tabId="12" name="ptK3"/>
    <pivotTable tabId="12" name="ptK4"/>
    <pivotTable tabId="12" name="ptK5"/>
    <pivotTable tabId="12" name="ptK6"/>
  </pivotTables>
  <data>
    <tabular pivotCacheId="1998005466">
      <items count="12">
        <i x="5" s="1"/>
        <i x="0" s="1"/>
        <i x="8" s="1"/>
        <i x="6" s="1"/>
        <i x="7" s="1"/>
        <i x="4" s="1"/>
        <i x="2" s="1"/>
        <i x="11" s="1"/>
        <i x="1" s="1"/>
        <i x="9" s="1"/>
        <i x="1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unding_Stage" xr10:uid="{EEC6E37A-1A37-43BB-AF82-B225B5758049}" sourceName="Funding Stage">
  <pivotTables>
    <pivotTable tabId="12" name="ptSector"/>
    <pivotTable tabId="12" name="ptStage"/>
    <pivotTable tabId="12" name="ptYear"/>
    <pivotTable tabId="12" name="ptCity"/>
    <pivotTable tabId="12" name="ptSecCnt"/>
    <pivotTable tabId="12" name="ptTopCo"/>
    <pivotTable tabId="12" name="ptK1"/>
    <pivotTable tabId="12" name="ptK2"/>
    <pivotTable tabId="12" name="ptK3"/>
    <pivotTable tabId="12" name="ptK4"/>
    <pivotTable tabId="12" name="ptK5"/>
    <pivotTable tabId="12" name="ptK6"/>
  </pivotTables>
  <data>
    <tabular pivotCacheId="1998005466">
      <items count="5">
        <i x="3" s="1"/>
        <i x="0" s="1"/>
        <i x="2" s="1"/>
        <i x="1"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unding_Year" xr10:uid="{CE464B36-8774-42F1-8ADC-B8D0659229D8}" sourceName="Funding Year">
  <pivotTables>
    <pivotTable tabId="12" name="ptSector"/>
    <pivotTable tabId="12" name="ptStage"/>
    <pivotTable tabId="12" name="ptYear"/>
    <pivotTable tabId="12" name="ptCity"/>
    <pivotTable tabId="12" name="ptSecCnt"/>
    <pivotTable tabId="12" name="ptTopCo"/>
    <pivotTable tabId="12" name="ptK1"/>
    <pivotTable tabId="12" name="ptK2"/>
    <pivotTable tabId="12" name="ptK3"/>
    <pivotTable tabId="12" name="ptK4"/>
    <pivotTable tabId="12" name="ptK5"/>
    <pivotTable tabId="12" name="ptK6"/>
  </pivotTables>
  <data>
    <tabular pivotCacheId="1998005466">
      <items count="6">
        <i x="0" s="1"/>
        <i x="1" s="1"/>
        <i x="2" s="1"/>
        <i x="3" s="1"/>
        <i x="4" s="1"/>
        <i x="5"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690E27A7-1A6D-4399-8EA7-1B108503B527}" sourceName="City">
  <pivotTables>
    <pivotTable tabId="12" name="ptSector"/>
    <pivotTable tabId="12" name="ptStage"/>
    <pivotTable tabId="12" name="ptYear"/>
    <pivotTable tabId="12" name="ptCity"/>
    <pivotTable tabId="12" name="ptSecCnt"/>
    <pivotTable tabId="12" name="ptTopCo"/>
    <pivotTable tabId="12" name="ptK1"/>
    <pivotTable tabId="12" name="ptK2"/>
    <pivotTable tabId="12" name="ptK3"/>
    <pivotTable tabId="12" name="ptK4"/>
    <pivotTable tabId="12" name="ptK5"/>
    <pivotTable tabId="12" name="ptK6"/>
  </pivotTables>
  <data>
    <tabular pivotCacheId="1998005466">
      <items count="9">
        <i x="8" s="1"/>
        <i x="1" s="1"/>
        <i x="6" s="1"/>
        <i x="4" s="1"/>
        <i x="7" s="1"/>
        <i x="3" s="1"/>
        <i x="5"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ctor 1" xr10:uid="{5148D0D3-FCD4-4EA5-8F8E-2A3957B2BB34}" cache="Slicer_Sector" caption="Sector" style="SlicerStyleDark6" rowHeight="241300"/>
  <slicer name="Funding Stage 1" xr10:uid="{06EC1B6D-CD84-4EEC-8A03-132CCC55159D}" cache="Slicer_Funding_Stage" caption="Stage" style="SlicerStyleDark5" rowHeight="241300"/>
  <slicer name="Funding Year 1" xr10:uid="{7124340A-8F72-477C-8342-9718ABE91DE4}" cache="Slicer_Funding_Year" caption="Year" style="SlicerStyleDark2" rowHeight="241300"/>
  <slicer name="City 1" xr10:uid="{90CD2EC1-2D84-411A-B9BF-0FCC981ABBAA}" cache="Slicer_City" caption="City" style="SlicerStyleOther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ctor" xr10:uid="{1A26C319-900D-4507-BA5D-546EE7C253AF}" cache="Slicer_Sector" caption="Sector" style="SlicerStyleDark6" rowHeight="241300"/>
  <slicer name="Funding Stage" xr10:uid="{C082CFD8-076E-4061-B96B-CE85DBBC56FC}" cache="Slicer_Funding_Stage" caption="Stage" style="SlicerStyleDark5" rowHeight="241300"/>
  <slicer name="Funding Year" xr10:uid="{8F439711-3490-4AD2-8442-597CB2AF7668}" cache="Slicer_Funding_Year" caption="Year" style="SlicerStyleDark2" rowHeight="241300"/>
  <slicer name="City" xr10:uid="{008DCE71-9132-40FB-8E4B-C694C44387CB}" cache="Slicer_City" caption="City" style="SlicerStyleOther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701"/>
  <sheetViews>
    <sheetView zoomScale="145" zoomScaleNormal="145" workbookViewId="0">
      <pane ySplit="1" topLeftCell="A529" activePane="bottomLeft" state="frozen"/>
      <selection pane="bottomLeft" activeCell="O537" sqref="O537"/>
    </sheetView>
  </sheetViews>
  <sheetFormatPr defaultRowHeight="15" x14ac:dyDescent="0.25"/>
  <cols>
    <col min="1" max="1" width="12.85546875" style="10" bestFit="1" customWidth="1"/>
    <col min="2" max="2" width="10.5703125" style="10" bestFit="1" customWidth="1"/>
    <col min="3" max="3" width="10.28515625" style="10" bestFit="1" customWidth="1"/>
    <col min="4" max="4" width="16.42578125" style="10" bestFit="1" customWidth="1"/>
    <col min="5" max="5" width="18.7109375" style="16" bestFit="1" customWidth="1"/>
    <col min="6" max="6" width="15.85546875" style="16" bestFit="1" customWidth="1"/>
    <col min="7" max="7" width="15.7109375" style="16" bestFit="1" customWidth="1"/>
    <col min="8" max="8" width="16.140625" style="16" bestFit="1" customWidth="1"/>
    <col min="9" max="9" width="16.42578125" style="16" bestFit="1" customWidth="1"/>
    <col min="10" max="10" width="17.140625" style="16" bestFit="1" customWidth="1"/>
    <col min="11" max="11" width="14" style="16" bestFit="1" customWidth="1"/>
  </cols>
  <sheetData>
    <row r="1" spans="1:11" ht="30" customHeight="1" x14ac:dyDescent="0.25">
      <c r="A1" s="1" t="s">
        <v>0</v>
      </c>
      <c r="B1" s="1" t="s">
        <v>1</v>
      </c>
      <c r="C1" s="1" t="s">
        <v>2</v>
      </c>
      <c r="D1" s="1" t="s">
        <v>3</v>
      </c>
      <c r="E1" s="1" t="s">
        <v>4</v>
      </c>
      <c r="F1" s="1" t="s">
        <v>5</v>
      </c>
      <c r="G1" s="1" t="s">
        <v>6</v>
      </c>
      <c r="H1" s="1" t="s">
        <v>7</v>
      </c>
      <c r="I1" s="1" t="s">
        <v>8</v>
      </c>
      <c r="J1" s="1" t="s">
        <v>9</v>
      </c>
      <c r="K1" s="1" t="s">
        <v>10</v>
      </c>
    </row>
    <row r="2" spans="1:11" x14ac:dyDescent="0.25">
      <c r="A2" s="2" t="s">
        <v>11</v>
      </c>
      <c r="B2" s="2" t="s">
        <v>12</v>
      </c>
      <c r="C2" s="2" t="s">
        <v>13</v>
      </c>
      <c r="D2" s="2" t="s">
        <v>14</v>
      </c>
      <c r="E2" s="12">
        <v>5.3</v>
      </c>
      <c r="F2" s="4">
        <v>43473</v>
      </c>
      <c r="G2" s="5">
        <v>2019</v>
      </c>
      <c r="H2" s="3" t="s">
        <v>15</v>
      </c>
      <c r="I2" s="5">
        <v>2017</v>
      </c>
      <c r="J2" s="12">
        <v>36.5</v>
      </c>
      <c r="K2" s="13">
        <v>131</v>
      </c>
    </row>
    <row r="3" spans="1:11" x14ac:dyDescent="0.25">
      <c r="A3" s="6" t="s">
        <v>16</v>
      </c>
      <c r="B3" s="6" t="s">
        <v>17</v>
      </c>
      <c r="C3" s="6" t="s">
        <v>18</v>
      </c>
      <c r="D3" s="6" t="s">
        <v>19</v>
      </c>
      <c r="E3" s="14">
        <v>115.4</v>
      </c>
      <c r="F3" s="8">
        <v>43477</v>
      </c>
      <c r="G3" s="9">
        <v>2019</v>
      </c>
      <c r="H3" s="7" t="s">
        <v>20</v>
      </c>
      <c r="I3" s="9">
        <v>2015</v>
      </c>
      <c r="J3" s="14">
        <v>534.70000000000005</v>
      </c>
      <c r="K3" s="15">
        <v>1432</v>
      </c>
    </row>
    <row r="4" spans="1:11" x14ac:dyDescent="0.25">
      <c r="A4" s="2" t="s">
        <v>21</v>
      </c>
      <c r="B4" s="2" t="s">
        <v>22</v>
      </c>
      <c r="C4" s="2" t="s">
        <v>18</v>
      </c>
      <c r="D4" s="2" t="s">
        <v>14</v>
      </c>
      <c r="E4" s="12">
        <v>12.7</v>
      </c>
      <c r="F4" s="4">
        <v>43482</v>
      </c>
      <c r="G4" s="5">
        <v>2019</v>
      </c>
      <c r="H4" s="3" t="s">
        <v>23</v>
      </c>
      <c r="I4" s="5">
        <v>2016</v>
      </c>
      <c r="J4" s="12">
        <v>67.2</v>
      </c>
      <c r="K4" s="13">
        <v>117</v>
      </c>
    </row>
    <row r="5" spans="1:11" x14ac:dyDescent="0.25">
      <c r="A5" s="6" t="s">
        <v>24</v>
      </c>
      <c r="B5" s="6" t="s">
        <v>17</v>
      </c>
      <c r="C5" s="6" t="s">
        <v>25</v>
      </c>
      <c r="D5" s="6" t="s">
        <v>26</v>
      </c>
      <c r="E5" s="14">
        <v>38</v>
      </c>
      <c r="F5" s="8">
        <v>43484</v>
      </c>
      <c r="G5" s="9">
        <v>2019</v>
      </c>
      <c r="H5" s="7" t="s">
        <v>27</v>
      </c>
      <c r="I5" s="9">
        <v>2019</v>
      </c>
      <c r="J5" s="14">
        <v>284</v>
      </c>
      <c r="K5" s="15">
        <v>590</v>
      </c>
    </row>
    <row r="6" spans="1:11" x14ac:dyDescent="0.25">
      <c r="A6" s="2" t="s">
        <v>28</v>
      </c>
      <c r="B6" s="2" t="s">
        <v>29</v>
      </c>
      <c r="C6" s="2" t="s">
        <v>30</v>
      </c>
      <c r="D6" s="2" t="s">
        <v>31</v>
      </c>
      <c r="E6" s="12">
        <v>3.8</v>
      </c>
      <c r="F6" s="4">
        <v>43485</v>
      </c>
      <c r="G6" s="5">
        <v>2019</v>
      </c>
      <c r="H6" s="3" t="s">
        <v>20</v>
      </c>
      <c r="I6" s="5">
        <v>2017</v>
      </c>
      <c r="J6" s="12">
        <v>26.6</v>
      </c>
      <c r="K6" s="13">
        <v>69</v>
      </c>
    </row>
    <row r="7" spans="1:11" x14ac:dyDescent="0.25">
      <c r="A7" s="6" t="s">
        <v>32</v>
      </c>
      <c r="B7" s="6" t="s">
        <v>33</v>
      </c>
      <c r="C7" s="6" t="s">
        <v>34</v>
      </c>
      <c r="D7" s="6" t="s">
        <v>35</v>
      </c>
      <c r="E7" s="14">
        <v>371.2</v>
      </c>
      <c r="F7" s="8">
        <v>43492</v>
      </c>
      <c r="G7" s="9">
        <v>2019</v>
      </c>
      <c r="H7" s="7" t="s">
        <v>15</v>
      </c>
      <c r="I7" s="9">
        <v>2018</v>
      </c>
      <c r="J7" s="14">
        <v>3793.6</v>
      </c>
      <c r="K7" s="15">
        <v>12757</v>
      </c>
    </row>
    <row r="8" spans="1:11" x14ac:dyDescent="0.25">
      <c r="A8" s="2" t="s">
        <v>36</v>
      </c>
      <c r="B8" s="2" t="s">
        <v>17</v>
      </c>
      <c r="C8" s="2" t="s">
        <v>34</v>
      </c>
      <c r="D8" s="2" t="s">
        <v>19</v>
      </c>
      <c r="E8" s="12">
        <v>81.3</v>
      </c>
      <c r="F8" s="4">
        <v>43496</v>
      </c>
      <c r="G8" s="5">
        <v>2019</v>
      </c>
      <c r="H8" s="3" t="s">
        <v>37</v>
      </c>
      <c r="I8" s="5">
        <v>2015</v>
      </c>
      <c r="J8" s="12">
        <v>431.2</v>
      </c>
      <c r="K8" s="13">
        <v>1029</v>
      </c>
    </row>
    <row r="9" spans="1:11" x14ac:dyDescent="0.25">
      <c r="A9" s="6" t="s">
        <v>38</v>
      </c>
      <c r="B9" s="6" t="s">
        <v>39</v>
      </c>
      <c r="C9" s="6" t="s">
        <v>40</v>
      </c>
      <c r="D9" s="6" t="s">
        <v>26</v>
      </c>
      <c r="E9" s="14">
        <v>23.4</v>
      </c>
      <c r="F9" s="8">
        <v>43498</v>
      </c>
      <c r="G9" s="9">
        <v>2019</v>
      </c>
      <c r="H9" s="7" t="s">
        <v>37</v>
      </c>
      <c r="I9" s="9">
        <v>2018</v>
      </c>
      <c r="J9" s="14">
        <v>125</v>
      </c>
      <c r="K9" s="15">
        <v>344</v>
      </c>
    </row>
    <row r="10" spans="1:11" x14ac:dyDescent="0.25">
      <c r="A10" s="2" t="s">
        <v>41</v>
      </c>
      <c r="B10" s="2" t="s">
        <v>42</v>
      </c>
      <c r="C10" s="2" t="s">
        <v>25</v>
      </c>
      <c r="D10" s="2" t="s">
        <v>26</v>
      </c>
      <c r="E10" s="12">
        <v>18.399999999999999</v>
      </c>
      <c r="F10" s="4">
        <v>43499</v>
      </c>
      <c r="G10" s="5">
        <v>2019</v>
      </c>
      <c r="H10" s="3" t="s">
        <v>43</v>
      </c>
      <c r="I10" s="5">
        <v>2013</v>
      </c>
      <c r="J10" s="12">
        <v>91.7</v>
      </c>
      <c r="K10" s="13">
        <v>162</v>
      </c>
    </row>
    <row r="11" spans="1:11" x14ac:dyDescent="0.25">
      <c r="A11" s="6" t="s">
        <v>44</v>
      </c>
      <c r="B11" s="6" t="s">
        <v>33</v>
      </c>
      <c r="C11" s="6" t="s">
        <v>13</v>
      </c>
      <c r="D11" s="6" t="s">
        <v>31</v>
      </c>
      <c r="E11" s="14">
        <v>2.9</v>
      </c>
      <c r="F11" s="8">
        <v>43504</v>
      </c>
      <c r="G11" s="9">
        <v>2019</v>
      </c>
      <c r="H11" s="7" t="s">
        <v>45</v>
      </c>
      <c r="I11" s="9">
        <v>2019</v>
      </c>
      <c r="J11" s="14">
        <v>23</v>
      </c>
      <c r="K11" s="15">
        <v>59</v>
      </c>
    </row>
    <row r="12" spans="1:11" x14ac:dyDescent="0.25">
      <c r="A12" s="2" t="s">
        <v>46</v>
      </c>
      <c r="B12" s="2" t="s">
        <v>47</v>
      </c>
      <c r="C12" s="2" t="s">
        <v>48</v>
      </c>
      <c r="D12" s="2" t="s">
        <v>19</v>
      </c>
      <c r="E12" s="12">
        <v>95.3</v>
      </c>
      <c r="F12" s="4">
        <v>43506</v>
      </c>
      <c r="G12" s="5">
        <v>2019</v>
      </c>
      <c r="H12" s="3" t="s">
        <v>27</v>
      </c>
      <c r="I12" s="5">
        <v>2015</v>
      </c>
      <c r="J12" s="12">
        <v>437.6</v>
      </c>
      <c r="K12" s="13">
        <v>754</v>
      </c>
    </row>
    <row r="13" spans="1:11" x14ac:dyDescent="0.25">
      <c r="A13" s="6" t="s">
        <v>49</v>
      </c>
      <c r="B13" s="6" t="s">
        <v>42</v>
      </c>
      <c r="C13" s="6" t="s">
        <v>34</v>
      </c>
      <c r="D13" s="6" t="s">
        <v>35</v>
      </c>
      <c r="E13" s="14">
        <v>171.3</v>
      </c>
      <c r="F13" s="8">
        <v>43509</v>
      </c>
      <c r="G13" s="9">
        <v>2019</v>
      </c>
      <c r="H13" s="7" t="s">
        <v>50</v>
      </c>
      <c r="I13" s="9">
        <v>2018</v>
      </c>
      <c r="J13" s="14">
        <v>1737.1</v>
      </c>
      <c r="K13" s="15">
        <v>6549</v>
      </c>
    </row>
    <row r="14" spans="1:11" x14ac:dyDescent="0.25">
      <c r="A14" s="2" t="s">
        <v>51</v>
      </c>
      <c r="B14" s="2" t="s">
        <v>33</v>
      </c>
      <c r="C14" s="2" t="s">
        <v>48</v>
      </c>
      <c r="D14" s="2" t="s">
        <v>31</v>
      </c>
      <c r="E14" s="12">
        <v>4</v>
      </c>
      <c r="F14" s="4">
        <v>43513</v>
      </c>
      <c r="G14" s="5">
        <v>2019</v>
      </c>
      <c r="H14" s="3" t="s">
        <v>23</v>
      </c>
      <c r="I14" s="5">
        <v>2017</v>
      </c>
      <c r="J14" s="12">
        <v>38.299999999999997</v>
      </c>
      <c r="K14" s="13">
        <v>97</v>
      </c>
    </row>
    <row r="15" spans="1:11" x14ac:dyDescent="0.25">
      <c r="A15" s="6" t="s">
        <v>52</v>
      </c>
      <c r="B15" s="6" t="s">
        <v>17</v>
      </c>
      <c r="C15" s="6" t="s">
        <v>18</v>
      </c>
      <c r="D15" s="6" t="s">
        <v>26</v>
      </c>
      <c r="E15" s="14">
        <v>29.4</v>
      </c>
      <c r="F15" s="8">
        <v>43513</v>
      </c>
      <c r="G15" s="9">
        <v>2019</v>
      </c>
      <c r="H15" s="7" t="s">
        <v>53</v>
      </c>
      <c r="I15" s="9">
        <v>2017</v>
      </c>
      <c r="J15" s="14">
        <v>117.3</v>
      </c>
      <c r="K15" s="15">
        <v>230</v>
      </c>
    </row>
    <row r="16" spans="1:11" x14ac:dyDescent="0.25">
      <c r="A16" s="2" t="s">
        <v>54</v>
      </c>
      <c r="B16" s="2" t="s">
        <v>42</v>
      </c>
      <c r="C16" s="2" t="s">
        <v>18</v>
      </c>
      <c r="D16" s="2" t="s">
        <v>31</v>
      </c>
      <c r="E16" s="12">
        <v>4.4000000000000004</v>
      </c>
      <c r="F16" s="4">
        <v>43514</v>
      </c>
      <c r="G16" s="5">
        <v>2019</v>
      </c>
      <c r="H16" s="3" t="s">
        <v>55</v>
      </c>
      <c r="I16" s="5">
        <v>2019</v>
      </c>
      <c r="J16" s="12">
        <v>20.7</v>
      </c>
      <c r="K16" s="13">
        <v>69</v>
      </c>
    </row>
    <row r="17" spans="1:11" x14ac:dyDescent="0.25">
      <c r="A17" s="6" t="s">
        <v>56</v>
      </c>
      <c r="B17" s="6" t="s">
        <v>47</v>
      </c>
      <c r="C17" s="6" t="s">
        <v>34</v>
      </c>
      <c r="D17" s="6" t="s">
        <v>19</v>
      </c>
      <c r="E17" s="14">
        <v>65.099999999999994</v>
      </c>
      <c r="F17" s="8">
        <v>43520</v>
      </c>
      <c r="G17" s="9">
        <v>2019</v>
      </c>
      <c r="H17" s="7" t="s">
        <v>15</v>
      </c>
      <c r="I17" s="9">
        <v>2017</v>
      </c>
      <c r="J17" s="14">
        <v>579.9</v>
      </c>
      <c r="K17" s="15">
        <v>1070</v>
      </c>
    </row>
    <row r="18" spans="1:11" x14ac:dyDescent="0.25">
      <c r="A18" s="2" t="s">
        <v>57</v>
      </c>
      <c r="B18" s="2" t="s">
        <v>29</v>
      </c>
      <c r="C18" s="2" t="s">
        <v>13</v>
      </c>
      <c r="D18" s="2" t="s">
        <v>14</v>
      </c>
      <c r="E18" s="12">
        <v>13.6</v>
      </c>
      <c r="F18" s="4">
        <v>43521</v>
      </c>
      <c r="G18" s="5">
        <v>2019</v>
      </c>
      <c r="H18" s="3" t="s">
        <v>58</v>
      </c>
      <c r="I18" s="5">
        <v>2012</v>
      </c>
      <c r="J18" s="12">
        <v>88.2</v>
      </c>
      <c r="K18" s="13">
        <v>234</v>
      </c>
    </row>
    <row r="19" spans="1:11" x14ac:dyDescent="0.25">
      <c r="A19" s="6" t="s">
        <v>59</v>
      </c>
      <c r="B19" s="6" t="s">
        <v>29</v>
      </c>
      <c r="C19" s="6" t="s">
        <v>34</v>
      </c>
      <c r="D19" s="6" t="s">
        <v>14</v>
      </c>
      <c r="E19" s="14">
        <v>11.1</v>
      </c>
      <c r="F19" s="8">
        <v>43527</v>
      </c>
      <c r="G19" s="9">
        <v>2019</v>
      </c>
      <c r="H19" s="7" t="s">
        <v>60</v>
      </c>
      <c r="I19" s="9">
        <v>2012</v>
      </c>
      <c r="J19" s="14">
        <v>50.6</v>
      </c>
      <c r="K19" s="15">
        <v>93</v>
      </c>
    </row>
    <row r="20" spans="1:11" x14ac:dyDescent="0.25">
      <c r="A20" s="2" t="s">
        <v>61</v>
      </c>
      <c r="B20" s="2" t="s">
        <v>42</v>
      </c>
      <c r="C20" s="2" t="s">
        <v>18</v>
      </c>
      <c r="D20" s="2" t="s">
        <v>26</v>
      </c>
      <c r="E20" s="12">
        <v>36.9</v>
      </c>
      <c r="F20" s="4">
        <v>43529</v>
      </c>
      <c r="G20" s="5">
        <v>2019</v>
      </c>
      <c r="H20" s="3" t="s">
        <v>23</v>
      </c>
      <c r="I20" s="5">
        <v>2018</v>
      </c>
      <c r="J20" s="12">
        <v>280.3</v>
      </c>
      <c r="K20" s="13">
        <v>754</v>
      </c>
    </row>
    <row r="21" spans="1:11" x14ac:dyDescent="0.25">
      <c r="A21" s="6" t="s">
        <v>62</v>
      </c>
      <c r="B21" s="6" t="s">
        <v>12</v>
      </c>
      <c r="C21" s="6" t="s">
        <v>63</v>
      </c>
      <c r="D21" s="6" t="s">
        <v>31</v>
      </c>
      <c r="E21" s="14">
        <v>1.1000000000000001</v>
      </c>
      <c r="F21" s="8">
        <v>43529</v>
      </c>
      <c r="G21" s="9">
        <v>2019</v>
      </c>
      <c r="H21" s="7" t="s">
        <v>45</v>
      </c>
      <c r="I21" s="9">
        <v>2013</v>
      </c>
      <c r="J21" s="14">
        <v>7.6</v>
      </c>
      <c r="K21" s="15">
        <v>27</v>
      </c>
    </row>
    <row r="22" spans="1:11" x14ac:dyDescent="0.25">
      <c r="A22" s="2" t="s">
        <v>64</v>
      </c>
      <c r="B22" s="2" t="s">
        <v>47</v>
      </c>
      <c r="C22" s="2" t="s">
        <v>63</v>
      </c>
      <c r="D22" s="2" t="s">
        <v>19</v>
      </c>
      <c r="E22" s="12">
        <v>57.1</v>
      </c>
      <c r="F22" s="4">
        <v>43530</v>
      </c>
      <c r="G22" s="5">
        <v>2019</v>
      </c>
      <c r="H22" s="3" t="s">
        <v>65</v>
      </c>
      <c r="I22" s="5">
        <v>2013</v>
      </c>
      <c r="J22" s="12">
        <v>348.9</v>
      </c>
      <c r="K22" s="13">
        <v>887</v>
      </c>
    </row>
    <row r="23" spans="1:11" x14ac:dyDescent="0.25">
      <c r="A23" s="6" t="s">
        <v>66</v>
      </c>
      <c r="B23" s="6" t="s">
        <v>67</v>
      </c>
      <c r="C23" s="6" t="s">
        <v>13</v>
      </c>
      <c r="D23" s="6" t="s">
        <v>26</v>
      </c>
      <c r="E23" s="14">
        <v>22.7</v>
      </c>
      <c r="F23" s="8">
        <v>43534</v>
      </c>
      <c r="G23" s="9">
        <v>2019</v>
      </c>
      <c r="H23" s="7" t="s">
        <v>58</v>
      </c>
      <c r="I23" s="9">
        <v>2016</v>
      </c>
      <c r="J23" s="14">
        <v>135.5</v>
      </c>
      <c r="K23" s="15">
        <v>319</v>
      </c>
    </row>
    <row r="24" spans="1:11" x14ac:dyDescent="0.25">
      <c r="A24" s="2" t="s">
        <v>68</v>
      </c>
      <c r="B24" s="2" t="s">
        <v>22</v>
      </c>
      <c r="C24" s="2" t="s">
        <v>18</v>
      </c>
      <c r="D24" s="2" t="s">
        <v>26</v>
      </c>
      <c r="E24" s="12">
        <v>25.1</v>
      </c>
      <c r="F24" s="4">
        <v>43534</v>
      </c>
      <c r="G24" s="5">
        <v>2019</v>
      </c>
      <c r="H24" s="3" t="s">
        <v>65</v>
      </c>
      <c r="I24" s="5">
        <v>2015</v>
      </c>
      <c r="J24" s="12">
        <v>138</v>
      </c>
      <c r="K24" s="13">
        <v>513</v>
      </c>
    </row>
    <row r="25" spans="1:11" x14ac:dyDescent="0.25">
      <c r="A25" s="6" t="s">
        <v>69</v>
      </c>
      <c r="B25" s="6" t="s">
        <v>12</v>
      </c>
      <c r="C25" s="6" t="s">
        <v>18</v>
      </c>
      <c r="D25" s="6" t="s">
        <v>19</v>
      </c>
      <c r="E25" s="14">
        <v>98</v>
      </c>
      <c r="F25" s="8">
        <v>43545</v>
      </c>
      <c r="G25" s="9">
        <v>2019</v>
      </c>
      <c r="H25" s="7" t="s">
        <v>27</v>
      </c>
      <c r="I25" s="9">
        <v>2018</v>
      </c>
      <c r="J25" s="14">
        <v>604.29999999999995</v>
      </c>
      <c r="K25" s="15">
        <v>2112</v>
      </c>
    </row>
    <row r="26" spans="1:11" x14ac:dyDescent="0.25">
      <c r="A26" s="2" t="s">
        <v>70</v>
      </c>
      <c r="B26" s="2" t="s">
        <v>42</v>
      </c>
      <c r="C26" s="2" t="s">
        <v>71</v>
      </c>
      <c r="D26" s="2" t="s">
        <v>31</v>
      </c>
      <c r="E26" s="12">
        <v>2.2999999999999998</v>
      </c>
      <c r="F26" s="4">
        <v>43550</v>
      </c>
      <c r="G26" s="5">
        <v>2019</v>
      </c>
      <c r="H26" s="3" t="s">
        <v>20</v>
      </c>
      <c r="I26" s="5">
        <v>2012</v>
      </c>
      <c r="J26" s="12">
        <v>18.100000000000001</v>
      </c>
      <c r="K26" s="13">
        <v>69</v>
      </c>
    </row>
    <row r="27" spans="1:11" x14ac:dyDescent="0.25">
      <c r="A27" s="6" t="s">
        <v>72</v>
      </c>
      <c r="B27" s="6" t="s">
        <v>47</v>
      </c>
      <c r="C27" s="6" t="s">
        <v>13</v>
      </c>
      <c r="D27" s="6" t="s">
        <v>19</v>
      </c>
      <c r="E27" s="14">
        <v>75.3</v>
      </c>
      <c r="F27" s="8">
        <v>43551</v>
      </c>
      <c r="G27" s="9">
        <v>2019</v>
      </c>
      <c r="H27" s="7" t="s">
        <v>65</v>
      </c>
      <c r="I27" s="9">
        <v>2019</v>
      </c>
      <c r="J27" s="14">
        <v>361.2</v>
      </c>
      <c r="K27" s="15">
        <v>1264</v>
      </c>
    </row>
    <row r="28" spans="1:11" x14ac:dyDescent="0.25">
      <c r="A28" s="2" t="s">
        <v>73</v>
      </c>
      <c r="B28" s="2" t="s">
        <v>29</v>
      </c>
      <c r="C28" s="2" t="s">
        <v>18</v>
      </c>
      <c r="D28" s="2" t="s">
        <v>14</v>
      </c>
      <c r="E28" s="12">
        <v>9.5</v>
      </c>
      <c r="F28" s="4">
        <v>43555</v>
      </c>
      <c r="G28" s="5">
        <v>2019</v>
      </c>
      <c r="H28" s="3" t="s">
        <v>50</v>
      </c>
      <c r="I28" s="5">
        <v>2015</v>
      </c>
      <c r="J28" s="12">
        <v>54.6</v>
      </c>
      <c r="K28" s="13">
        <v>173</v>
      </c>
    </row>
    <row r="29" spans="1:11" x14ac:dyDescent="0.25">
      <c r="A29" s="6" t="s">
        <v>74</v>
      </c>
      <c r="B29" s="6" t="s">
        <v>12</v>
      </c>
      <c r="C29" s="6" t="s">
        <v>63</v>
      </c>
      <c r="D29" s="6" t="s">
        <v>14</v>
      </c>
      <c r="E29" s="14">
        <v>12.6</v>
      </c>
      <c r="F29" s="8">
        <v>43556</v>
      </c>
      <c r="G29" s="9">
        <v>2019</v>
      </c>
      <c r="H29" s="7" t="s">
        <v>53</v>
      </c>
      <c r="I29" s="9">
        <v>2014</v>
      </c>
      <c r="J29" s="14">
        <v>58.7</v>
      </c>
      <c r="K29" s="15">
        <v>196</v>
      </c>
    </row>
    <row r="30" spans="1:11" x14ac:dyDescent="0.25">
      <c r="A30" s="2" t="s">
        <v>75</v>
      </c>
      <c r="B30" s="2" t="s">
        <v>76</v>
      </c>
      <c r="C30" s="2" t="s">
        <v>34</v>
      </c>
      <c r="D30" s="2" t="s">
        <v>14</v>
      </c>
      <c r="E30" s="12">
        <v>9.6</v>
      </c>
      <c r="F30" s="4">
        <v>43557</v>
      </c>
      <c r="G30" s="5">
        <v>2019</v>
      </c>
      <c r="H30" s="3" t="s">
        <v>27</v>
      </c>
      <c r="I30" s="5">
        <v>2015</v>
      </c>
      <c r="J30" s="12">
        <v>37.4</v>
      </c>
      <c r="K30" s="13">
        <v>71</v>
      </c>
    </row>
    <row r="31" spans="1:11" x14ac:dyDescent="0.25">
      <c r="A31" s="6" t="s">
        <v>77</v>
      </c>
      <c r="B31" s="6" t="s">
        <v>17</v>
      </c>
      <c r="C31" s="6" t="s">
        <v>13</v>
      </c>
      <c r="D31" s="6" t="s">
        <v>14</v>
      </c>
      <c r="E31" s="14">
        <v>9.5</v>
      </c>
      <c r="F31" s="8">
        <v>43561</v>
      </c>
      <c r="G31" s="9">
        <v>2019</v>
      </c>
      <c r="H31" s="7" t="s">
        <v>43</v>
      </c>
      <c r="I31" s="9">
        <v>2012</v>
      </c>
      <c r="J31" s="14">
        <v>59.7</v>
      </c>
      <c r="K31" s="15">
        <v>162</v>
      </c>
    </row>
    <row r="32" spans="1:11" x14ac:dyDescent="0.25">
      <c r="A32" s="2" t="s">
        <v>78</v>
      </c>
      <c r="B32" s="2" t="s">
        <v>33</v>
      </c>
      <c r="C32" s="2" t="s">
        <v>13</v>
      </c>
      <c r="D32" s="2" t="s">
        <v>14</v>
      </c>
      <c r="E32" s="12">
        <v>15.7</v>
      </c>
      <c r="F32" s="4">
        <v>43567</v>
      </c>
      <c r="G32" s="5">
        <v>2019</v>
      </c>
      <c r="H32" s="3" t="s">
        <v>50</v>
      </c>
      <c r="I32" s="5">
        <v>2014</v>
      </c>
      <c r="J32" s="12">
        <v>55.2</v>
      </c>
      <c r="K32" s="13">
        <v>150</v>
      </c>
    </row>
    <row r="33" spans="1:11" x14ac:dyDescent="0.25">
      <c r="A33" s="6" t="s">
        <v>79</v>
      </c>
      <c r="B33" s="6" t="s">
        <v>33</v>
      </c>
      <c r="C33" s="6" t="s">
        <v>18</v>
      </c>
      <c r="D33" s="6" t="s">
        <v>14</v>
      </c>
      <c r="E33" s="14">
        <v>13.6</v>
      </c>
      <c r="F33" s="8">
        <v>43578</v>
      </c>
      <c r="G33" s="9">
        <v>2019</v>
      </c>
      <c r="H33" s="7" t="s">
        <v>37</v>
      </c>
      <c r="I33" s="9">
        <v>2015</v>
      </c>
      <c r="J33" s="14">
        <v>67.3</v>
      </c>
      <c r="K33" s="15">
        <v>246</v>
      </c>
    </row>
    <row r="34" spans="1:11" x14ac:dyDescent="0.25">
      <c r="A34" s="2" t="s">
        <v>80</v>
      </c>
      <c r="B34" s="2" t="s">
        <v>33</v>
      </c>
      <c r="C34" s="2" t="s">
        <v>18</v>
      </c>
      <c r="D34" s="2" t="s">
        <v>26</v>
      </c>
      <c r="E34" s="12">
        <v>19.899999999999999</v>
      </c>
      <c r="F34" s="4">
        <v>43583</v>
      </c>
      <c r="G34" s="5">
        <v>2019</v>
      </c>
      <c r="H34" s="3" t="s">
        <v>20</v>
      </c>
      <c r="I34" s="5">
        <v>2012</v>
      </c>
      <c r="J34" s="12">
        <v>73.400000000000006</v>
      </c>
      <c r="K34" s="13">
        <v>237</v>
      </c>
    </row>
    <row r="35" spans="1:11" x14ac:dyDescent="0.25">
      <c r="A35" s="6" t="s">
        <v>81</v>
      </c>
      <c r="B35" s="6" t="s">
        <v>33</v>
      </c>
      <c r="C35" s="6" t="s">
        <v>18</v>
      </c>
      <c r="D35" s="6" t="s">
        <v>14</v>
      </c>
      <c r="E35" s="14">
        <v>8.1</v>
      </c>
      <c r="F35" s="8">
        <v>43586</v>
      </c>
      <c r="G35" s="9">
        <v>2019</v>
      </c>
      <c r="H35" s="7" t="s">
        <v>45</v>
      </c>
      <c r="I35" s="9">
        <v>2019</v>
      </c>
      <c r="J35" s="14">
        <v>44.3</v>
      </c>
      <c r="K35" s="15">
        <v>79</v>
      </c>
    </row>
    <row r="36" spans="1:11" x14ac:dyDescent="0.25">
      <c r="A36" s="2" t="s">
        <v>82</v>
      </c>
      <c r="B36" s="2" t="s">
        <v>47</v>
      </c>
      <c r="C36" s="2" t="s">
        <v>34</v>
      </c>
      <c r="D36" s="2" t="s">
        <v>14</v>
      </c>
      <c r="E36" s="12">
        <v>8.6999999999999993</v>
      </c>
      <c r="F36" s="4">
        <v>43590</v>
      </c>
      <c r="G36" s="5">
        <v>2019</v>
      </c>
      <c r="H36" s="3" t="s">
        <v>58</v>
      </c>
      <c r="I36" s="5">
        <v>2018</v>
      </c>
      <c r="J36" s="12">
        <v>40.200000000000003</v>
      </c>
      <c r="K36" s="13">
        <v>123</v>
      </c>
    </row>
    <row r="37" spans="1:11" x14ac:dyDescent="0.25">
      <c r="A37" s="6" t="s">
        <v>83</v>
      </c>
      <c r="B37" s="6" t="s">
        <v>29</v>
      </c>
      <c r="C37" s="6" t="s">
        <v>18</v>
      </c>
      <c r="D37" s="6" t="s">
        <v>19</v>
      </c>
      <c r="E37" s="14">
        <v>78.900000000000006</v>
      </c>
      <c r="F37" s="8">
        <v>43590</v>
      </c>
      <c r="G37" s="9">
        <v>2019</v>
      </c>
      <c r="H37" s="7" t="s">
        <v>20</v>
      </c>
      <c r="I37" s="9">
        <v>2015</v>
      </c>
      <c r="J37" s="14">
        <v>662.9</v>
      </c>
      <c r="K37" s="15">
        <v>1041</v>
      </c>
    </row>
    <row r="38" spans="1:11" x14ac:dyDescent="0.25">
      <c r="A38" s="2" t="s">
        <v>84</v>
      </c>
      <c r="B38" s="2" t="s">
        <v>39</v>
      </c>
      <c r="C38" s="2" t="s">
        <v>63</v>
      </c>
      <c r="D38" s="2" t="s">
        <v>19</v>
      </c>
      <c r="E38" s="12">
        <v>96.4</v>
      </c>
      <c r="F38" s="4">
        <v>43591</v>
      </c>
      <c r="G38" s="5">
        <v>2019</v>
      </c>
      <c r="H38" s="3" t="s">
        <v>50</v>
      </c>
      <c r="I38" s="5">
        <v>2014</v>
      </c>
      <c r="J38" s="12">
        <v>847.3</v>
      </c>
      <c r="K38" s="13">
        <v>2183</v>
      </c>
    </row>
    <row r="39" spans="1:11" x14ac:dyDescent="0.25">
      <c r="A39" s="6" t="s">
        <v>85</v>
      </c>
      <c r="B39" s="6" t="s">
        <v>29</v>
      </c>
      <c r="C39" s="6" t="s">
        <v>13</v>
      </c>
      <c r="D39" s="6" t="s">
        <v>19</v>
      </c>
      <c r="E39" s="14">
        <v>65.3</v>
      </c>
      <c r="F39" s="8">
        <v>43596</v>
      </c>
      <c r="G39" s="9">
        <v>2019</v>
      </c>
      <c r="H39" s="7" t="s">
        <v>55</v>
      </c>
      <c r="I39" s="9">
        <v>2018</v>
      </c>
      <c r="J39" s="14">
        <v>336.9</v>
      </c>
      <c r="K39" s="15">
        <v>853</v>
      </c>
    </row>
    <row r="40" spans="1:11" x14ac:dyDescent="0.25">
      <c r="A40" s="2" t="s">
        <v>86</v>
      </c>
      <c r="B40" s="2" t="s">
        <v>42</v>
      </c>
      <c r="C40" s="2" t="s">
        <v>13</v>
      </c>
      <c r="D40" s="2" t="s">
        <v>35</v>
      </c>
      <c r="E40" s="12">
        <v>267.60000000000002</v>
      </c>
      <c r="F40" s="4">
        <v>43608</v>
      </c>
      <c r="G40" s="5">
        <v>2019</v>
      </c>
      <c r="H40" s="3" t="s">
        <v>20</v>
      </c>
      <c r="I40" s="5">
        <v>2019</v>
      </c>
      <c r="J40" s="12">
        <v>2307.4</v>
      </c>
      <c r="K40" s="13">
        <v>5955</v>
      </c>
    </row>
    <row r="41" spans="1:11" x14ac:dyDescent="0.25">
      <c r="A41" s="6" t="s">
        <v>87</v>
      </c>
      <c r="B41" s="6" t="s">
        <v>33</v>
      </c>
      <c r="C41" s="6" t="s">
        <v>30</v>
      </c>
      <c r="D41" s="6" t="s">
        <v>14</v>
      </c>
      <c r="E41" s="14">
        <v>7.9</v>
      </c>
      <c r="F41" s="8">
        <v>43611</v>
      </c>
      <c r="G41" s="9">
        <v>2019</v>
      </c>
      <c r="H41" s="7" t="s">
        <v>45</v>
      </c>
      <c r="I41" s="9">
        <v>2013</v>
      </c>
      <c r="J41" s="14">
        <v>34.1</v>
      </c>
      <c r="K41" s="15">
        <v>120</v>
      </c>
    </row>
    <row r="42" spans="1:11" x14ac:dyDescent="0.25">
      <c r="A42" s="2" t="s">
        <v>88</v>
      </c>
      <c r="B42" s="2" t="s">
        <v>67</v>
      </c>
      <c r="C42" s="2" t="s">
        <v>34</v>
      </c>
      <c r="D42" s="2" t="s">
        <v>26</v>
      </c>
      <c r="E42" s="12">
        <v>39.799999999999997</v>
      </c>
      <c r="F42" s="4">
        <v>43613</v>
      </c>
      <c r="G42" s="5">
        <v>2019</v>
      </c>
      <c r="H42" s="3" t="s">
        <v>58</v>
      </c>
      <c r="I42" s="5">
        <v>2014</v>
      </c>
      <c r="J42" s="12">
        <v>235</v>
      </c>
      <c r="K42" s="13">
        <v>694</v>
      </c>
    </row>
    <row r="43" spans="1:11" x14ac:dyDescent="0.25">
      <c r="A43" s="6" t="s">
        <v>89</v>
      </c>
      <c r="B43" s="6" t="s">
        <v>33</v>
      </c>
      <c r="C43" s="6" t="s">
        <v>34</v>
      </c>
      <c r="D43" s="6" t="s">
        <v>26</v>
      </c>
      <c r="E43" s="14">
        <v>49.6</v>
      </c>
      <c r="F43" s="8">
        <v>43616</v>
      </c>
      <c r="G43" s="9">
        <v>2019</v>
      </c>
      <c r="H43" s="7" t="s">
        <v>15</v>
      </c>
      <c r="I43" s="9">
        <v>2013</v>
      </c>
      <c r="J43" s="14">
        <v>196.1</v>
      </c>
      <c r="K43" s="15">
        <v>381</v>
      </c>
    </row>
    <row r="44" spans="1:11" x14ac:dyDescent="0.25">
      <c r="A44" s="2" t="s">
        <v>90</v>
      </c>
      <c r="B44" s="2" t="s">
        <v>39</v>
      </c>
      <c r="C44" s="2" t="s">
        <v>34</v>
      </c>
      <c r="D44" s="2" t="s">
        <v>31</v>
      </c>
      <c r="E44" s="12">
        <v>4.0999999999999996</v>
      </c>
      <c r="F44" s="4">
        <v>43627</v>
      </c>
      <c r="G44" s="5">
        <v>2019</v>
      </c>
      <c r="H44" s="3" t="s">
        <v>60</v>
      </c>
      <c r="I44" s="5">
        <v>2012</v>
      </c>
      <c r="J44" s="12">
        <v>38.299999999999997</v>
      </c>
      <c r="K44" s="13">
        <v>88</v>
      </c>
    </row>
    <row r="45" spans="1:11" x14ac:dyDescent="0.25">
      <c r="A45" s="6" t="s">
        <v>91</v>
      </c>
      <c r="B45" s="6" t="s">
        <v>29</v>
      </c>
      <c r="C45" s="6" t="s">
        <v>25</v>
      </c>
      <c r="D45" s="6" t="s">
        <v>26</v>
      </c>
      <c r="E45" s="14">
        <v>24.5</v>
      </c>
      <c r="F45" s="8">
        <v>43628</v>
      </c>
      <c r="G45" s="9">
        <v>2019</v>
      </c>
      <c r="H45" s="7" t="s">
        <v>55</v>
      </c>
      <c r="I45" s="9">
        <v>2013</v>
      </c>
      <c r="J45" s="14">
        <v>131.30000000000001</v>
      </c>
      <c r="K45" s="15">
        <v>425</v>
      </c>
    </row>
    <row r="46" spans="1:11" x14ac:dyDescent="0.25">
      <c r="A46" s="2" t="s">
        <v>92</v>
      </c>
      <c r="B46" s="2" t="s">
        <v>29</v>
      </c>
      <c r="C46" s="2" t="s">
        <v>71</v>
      </c>
      <c r="D46" s="2" t="s">
        <v>26</v>
      </c>
      <c r="E46" s="12">
        <v>19.5</v>
      </c>
      <c r="F46" s="4">
        <v>43629</v>
      </c>
      <c r="G46" s="5">
        <v>2019</v>
      </c>
      <c r="H46" s="3" t="s">
        <v>23</v>
      </c>
      <c r="I46" s="5">
        <v>2019</v>
      </c>
      <c r="J46" s="12">
        <v>143.6</v>
      </c>
      <c r="K46" s="13">
        <v>353</v>
      </c>
    </row>
    <row r="47" spans="1:11" x14ac:dyDescent="0.25">
      <c r="A47" s="6" t="s">
        <v>93</v>
      </c>
      <c r="B47" s="6" t="s">
        <v>76</v>
      </c>
      <c r="C47" s="6" t="s">
        <v>18</v>
      </c>
      <c r="D47" s="6" t="s">
        <v>14</v>
      </c>
      <c r="E47" s="14">
        <v>8.3000000000000007</v>
      </c>
      <c r="F47" s="8">
        <v>43637</v>
      </c>
      <c r="G47" s="9">
        <v>2019</v>
      </c>
      <c r="H47" s="7" t="s">
        <v>20</v>
      </c>
      <c r="I47" s="9">
        <v>2017</v>
      </c>
      <c r="J47" s="14">
        <v>53.6</v>
      </c>
      <c r="K47" s="15">
        <v>167</v>
      </c>
    </row>
    <row r="48" spans="1:11" x14ac:dyDescent="0.25">
      <c r="A48" s="2" t="s">
        <v>94</v>
      </c>
      <c r="B48" s="2" t="s">
        <v>33</v>
      </c>
      <c r="C48" s="2" t="s">
        <v>13</v>
      </c>
      <c r="D48" s="2" t="s">
        <v>26</v>
      </c>
      <c r="E48" s="12">
        <v>50</v>
      </c>
      <c r="F48" s="4">
        <v>43644</v>
      </c>
      <c r="G48" s="5">
        <v>2019</v>
      </c>
      <c r="H48" s="3" t="s">
        <v>55</v>
      </c>
      <c r="I48" s="5">
        <v>2017</v>
      </c>
      <c r="J48" s="12">
        <v>197.4</v>
      </c>
      <c r="K48" s="13">
        <v>566</v>
      </c>
    </row>
    <row r="49" spans="1:11" x14ac:dyDescent="0.25">
      <c r="A49" s="6" t="s">
        <v>95</v>
      </c>
      <c r="B49" s="6" t="s">
        <v>12</v>
      </c>
      <c r="C49" s="6" t="s">
        <v>13</v>
      </c>
      <c r="D49" s="6" t="s">
        <v>31</v>
      </c>
      <c r="E49" s="14">
        <v>2.7</v>
      </c>
      <c r="F49" s="8">
        <v>43645</v>
      </c>
      <c r="G49" s="9">
        <v>2019</v>
      </c>
      <c r="H49" s="7" t="s">
        <v>43</v>
      </c>
      <c r="I49" s="9">
        <v>2018</v>
      </c>
      <c r="J49" s="14">
        <v>22</v>
      </c>
      <c r="K49" s="15">
        <v>77</v>
      </c>
    </row>
    <row r="50" spans="1:11" x14ac:dyDescent="0.25">
      <c r="A50" s="2" t="s">
        <v>96</v>
      </c>
      <c r="B50" s="2" t="s">
        <v>47</v>
      </c>
      <c r="C50" s="2" t="s">
        <v>34</v>
      </c>
      <c r="D50" s="2" t="s">
        <v>31</v>
      </c>
      <c r="E50" s="12">
        <v>1.5</v>
      </c>
      <c r="F50" s="4">
        <v>43645</v>
      </c>
      <c r="G50" s="5">
        <v>2019</v>
      </c>
      <c r="H50" s="3" t="s">
        <v>23</v>
      </c>
      <c r="I50" s="5">
        <v>2019</v>
      </c>
      <c r="J50" s="12">
        <v>6.7</v>
      </c>
      <c r="K50" s="13">
        <v>14</v>
      </c>
    </row>
    <row r="51" spans="1:11" x14ac:dyDescent="0.25">
      <c r="A51" s="6" t="s">
        <v>97</v>
      </c>
      <c r="B51" s="6" t="s">
        <v>22</v>
      </c>
      <c r="C51" s="6" t="s">
        <v>18</v>
      </c>
      <c r="D51" s="6" t="s">
        <v>26</v>
      </c>
      <c r="E51" s="14">
        <v>31.4</v>
      </c>
      <c r="F51" s="8">
        <v>43650</v>
      </c>
      <c r="G51" s="9">
        <v>2019</v>
      </c>
      <c r="H51" s="7" t="s">
        <v>60</v>
      </c>
      <c r="I51" s="9">
        <v>2016</v>
      </c>
      <c r="J51" s="14">
        <v>243.7</v>
      </c>
      <c r="K51" s="15">
        <v>374</v>
      </c>
    </row>
    <row r="52" spans="1:11" x14ac:dyDescent="0.25">
      <c r="A52" s="2" t="s">
        <v>98</v>
      </c>
      <c r="B52" s="2" t="s">
        <v>29</v>
      </c>
      <c r="C52" s="2" t="s">
        <v>18</v>
      </c>
      <c r="D52" s="2" t="s">
        <v>31</v>
      </c>
      <c r="E52" s="12">
        <v>4.5</v>
      </c>
      <c r="F52" s="4">
        <v>43657</v>
      </c>
      <c r="G52" s="5">
        <v>2019</v>
      </c>
      <c r="H52" s="3" t="s">
        <v>37</v>
      </c>
      <c r="I52" s="5">
        <v>2012</v>
      </c>
      <c r="J52" s="12">
        <v>19.7</v>
      </c>
      <c r="K52" s="13">
        <v>61</v>
      </c>
    </row>
    <row r="53" spans="1:11" x14ac:dyDescent="0.25">
      <c r="A53" s="6" t="s">
        <v>99</v>
      </c>
      <c r="B53" s="6" t="s">
        <v>100</v>
      </c>
      <c r="C53" s="6" t="s">
        <v>71</v>
      </c>
      <c r="D53" s="6" t="s">
        <v>31</v>
      </c>
      <c r="E53" s="14">
        <v>2.1</v>
      </c>
      <c r="F53" s="8">
        <v>43658</v>
      </c>
      <c r="G53" s="9">
        <v>2019</v>
      </c>
      <c r="H53" s="7" t="s">
        <v>20</v>
      </c>
      <c r="I53" s="9">
        <v>2016</v>
      </c>
      <c r="J53" s="14">
        <v>17.7</v>
      </c>
      <c r="K53" s="15">
        <v>57</v>
      </c>
    </row>
    <row r="54" spans="1:11" x14ac:dyDescent="0.25">
      <c r="A54" s="2" t="s">
        <v>101</v>
      </c>
      <c r="B54" s="2" t="s">
        <v>42</v>
      </c>
      <c r="C54" s="2" t="s">
        <v>48</v>
      </c>
      <c r="D54" s="2" t="s">
        <v>14</v>
      </c>
      <c r="E54" s="12">
        <v>15.1</v>
      </c>
      <c r="F54" s="4">
        <v>43663</v>
      </c>
      <c r="G54" s="5">
        <v>2019</v>
      </c>
      <c r="H54" s="3" t="s">
        <v>50</v>
      </c>
      <c r="I54" s="5">
        <v>2017</v>
      </c>
      <c r="J54" s="12">
        <v>113.6</v>
      </c>
      <c r="K54" s="13">
        <v>227</v>
      </c>
    </row>
    <row r="55" spans="1:11" x14ac:dyDescent="0.25">
      <c r="A55" s="6" t="s">
        <v>102</v>
      </c>
      <c r="B55" s="6" t="s">
        <v>39</v>
      </c>
      <c r="C55" s="6" t="s">
        <v>34</v>
      </c>
      <c r="D55" s="6" t="s">
        <v>31</v>
      </c>
      <c r="E55" s="14">
        <v>3.1</v>
      </c>
      <c r="F55" s="8">
        <v>43665</v>
      </c>
      <c r="G55" s="9">
        <v>2019</v>
      </c>
      <c r="H55" s="7" t="s">
        <v>15</v>
      </c>
      <c r="I55" s="9">
        <v>2013</v>
      </c>
      <c r="J55" s="14">
        <v>14.2</v>
      </c>
      <c r="K55" s="15">
        <v>50</v>
      </c>
    </row>
    <row r="56" spans="1:11" x14ac:dyDescent="0.25">
      <c r="A56" s="2" t="s">
        <v>103</v>
      </c>
      <c r="B56" s="2" t="s">
        <v>104</v>
      </c>
      <c r="C56" s="2" t="s">
        <v>18</v>
      </c>
      <c r="D56" s="2" t="s">
        <v>26</v>
      </c>
      <c r="E56" s="12">
        <v>36.6</v>
      </c>
      <c r="F56" s="4">
        <v>43671</v>
      </c>
      <c r="G56" s="5">
        <v>2019</v>
      </c>
      <c r="H56" s="3" t="s">
        <v>58</v>
      </c>
      <c r="I56" s="5">
        <v>2018</v>
      </c>
      <c r="J56" s="12">
        <v>237.4</v>
      </c>
      <c r="K56" s="13">
        <v>590</v>
      </c>
    </row>
    <row r="57" spans="1:11" x14ac:dyDescent="0.25">
      <c r="A57" s="6" t="s">
        <v>105</v>
      </c>
      <c r="B57" s="6" t="s">
        <v>33</v>
      </c>
      <c r="C57" s="6" t="s">
        <v>63</v>
      </c>
      <c r="D57" s="6" t="s">
        <v>35</v>
      </c>
      <c r="E57" s="14">
        <v>391.4</v>
      </c>
      <c r="F57" s="8">
        <v>43672</v>
      </c>
      <c r="G57" s="9">
        <v>2019</v>
      </c>
      <c r="H57" s="7" t="s">
        <v>43</v>
      </c>
      <c r="I57" s="9">
        <v>2014</v>
      </c>
      <c r="J57" s="14">
        <v>2415.4</v>
      </c>
      <c r="K57" s="15">
        <v>5507</v>
      </c>
    </row>
    <row r="58" spans="1:11" x14ac:dyDescent="0.25">
      <c r="A58" s="2" t="s">
        <v>106</v>
      </c>
      <c r="B58" s="2" t="s">
        <v>42</v>
      </c>
      <c r="C58" s="2" t="s">
        <v>34</v>
      </c>
      <c r="D58" s="2" t="s">
        <v>35</v>
      </c>
      <c r="E58" s="12">
        <v>298.8</v>
      </c>
      <c r="F58" s="4">
        <v>43680</v>
      </c>
      <c r="G58" s="5">
        <v>2019</v>
      </c>
      <c r="H58" s="3" t="s">
        <v>107</v>
      </c>
      <c r="I58" s="5">
        <v>2017</v>
      </c>
      <c r="J58" s="12">
        <v>2561</v>
      </c>
      <c r="K58" s="13">
        <v>3921</v>
      </c>
    </row>
    <row r="59" spans="1:11" x14ac:dyDescent="0.25">
      <c r="A59" s="6" t="s">
        <v>108</v>
      </c>
      <c r="B59" s="6" t="s">
        <v>29</v>
      </c>
      <c r="C59" s="6" t="s">
        <v>71</v>
      </c>
      <c r="D59" s="6" t="s">
        <v>26</v>
      </c>
      <c r="E59" s="14">
        <v>25.9</v>
      </c>
      <c r="F59" s="8">
        <v>43681</v>
      </c>
      <c r="G59" s="9">
        <v>2019</v>
      </c>
      <c r="H59" s="7" t="s">
        <v>58</v>
      </c>
      <c r="I59" s="9">
        <v>2015</v>
      </c>
      <c r="J59" s="14">
        <v>98.7</v>
      </c>
      <c r="K59" s="15">
        <v>382</v>
      </c>
    </row>
    <row r="60" spans="1:11" x14ac:dyDescent="0.25">
      <c r="A60" s="2" t="s">
        <v>109</v>
      </c>
      <c r="B60" s="2" t="s">
        <v>76</v>
      </c>
      <c r="C60" s="2" t="s">
        <v>63</v>
      </c>
      <c r="D60" s="2" t="s">
        <v>31</v>
      </c>
      <c r="E60" s="12">
        <v>3.4</v>
      </c>
      <c r="F60" s="4">
        <v>43682</v>
      </c>
      <c r="G60" s="5">
        <v>2019</v>
      </c>
      <c r="H60" s="3" t="s">
        <v>58</v>
      </c>
      <c r="I60" s="5">
        <v>2019</v>
      </c>
      <c r="J60" s="12">
        <v>29.6</v>
      </c>
      <c r="K60" s="13">
        <v>103</v>
      </c>
    </row>
    <row r="61" spans="1:11" x14ac:dyDescent="0.25">
      <c r="A61" s="6" t="s">
        <v>110</v>
      </c>
      <c r="B61" s="6" t="s">
        <v>39</v>
      </c>
      <c r="C61" s="6" t="s">
        <v>34</v>
      </c>
      <c r="D61" s="6" t="s">
        <v>26</v>
      </c>
      <c r="E61" s="14">
        <v>41.1</v>
      </c>
      <c r="F61" s="8">
        <v>43684</v>
      </c>
      <c r="G61" s="9">
        <v>2019</v>
      </c>
      <c r="H61" s="7" t="s">
        <v>45</v>
      </c>
      <c r="I61" s="9">
        <v>2012</v>
      </c>
      <c r="J61" s="14">
        <v>182.2</v>
      </c>
      <c r="K61" s="15">
        <v>283</v>
      </c>
    </row>
    <row r="62" spans="1:11" x14ac:dyDescent="0.25">
      <c r="A62" s="2" t="s">
        <v>111</v>
      </c>
      <c r="B62" s="2" t="s">
        <v>29</v>
      </c>
      <c r="C62" s="2" t="s">
        <v>71</v>
      </c>
      <c r="D62" s="2" t="s">
        <v>26</v>
      </c>
      <c r="E62" s="12">
        <v>39.6</v>
      </c>
      <c r="F62" s="4">
        <v>43687</v>
      </c>
      <c r="G62" s="5">
        <v>2019</v>
      </c>
      <c r="H62" s="3" t="s">
        <v>58</v>
      </c>
      <c r="I62" s="5">
        <v>2019</v>
      </c>
      <c r="J62" s="12">
        <v>298.89999999999998</v>
      </c>
      <c r="K62" s="13">
        <v>1031</v>
      </c>
    </row>
    <row r="63" spans="1:11" x14ac:dyDescent="0.25">
      <c r="A63" s="6" t="s">
        <v>112</v>
      </c>
      <c r="B63" s="6" t="s">
        <v>17</v>
      </c>
      <c r="C63" s="6" t="s">
        <v>13</v>
      </c>
      <c r="D63" s="6" t="s">
        <v>14</v>
      </c>
      <c r="E63" s="14">
        <v>8.6</v>
      </c>
      <c r="F63" s="8">
        <v>43689</v>
      </c>
      <c r="G63" s="9">
        <v>2019</v>
      </c>
      <c r="H63" s="7" t="s">
        <v>15</v>
      </c>
      <c r="I63" s="9">
        <v>2019</v>
      </c>
      <c r="J63" s="14">
        <v>52.1</v>
      </c>
      <c r="K63" s="15">
        <v>83</v>
      </c>
    </row>
    <row r="64" spans="1:11" x14ac:dyDescent="0.25">
      <c r="A64" s="2" t="s">
        <v>113</v>
      </c>
      <c r="B64" s="2" t="s">
        <v>39</v>
      </c>
      <c r="C64" s="2" t="s">
        <v>18</v>
      </c>
      <c r="D64" s="2" t="s">
        <v>14</v>
      </c>
      <c r="E64" s="12">
        <v>11.2</v>
      </c>
      <c r="F64" s="4">
        <v>43695</v>
      </c>
      <c r="G64" s="5">
        <v>2019</v>
      </c>
      <c r="H64" s="3" t="s">
        <v>20</v>
      </c>
      <c r="I64" s="5">
        <v>2018</v>
      </c>
      <c r="J64" s="12">
        <v>70.099999999999994</v>
      </c>
      <c r="K64" s="13">
        <v>232</v>
      </c>
    </row>
    <row r="65" spans="1:11" x14ac:dyDescent="0.25">
      <c r="A65" s="6" t="s">
        <v>114</v>
      </c>
      <c r="B65" s="6" t="s">
        <v>104</v>
      </c>
      <c r="C65" s="6" t="s">
        <v>13</v>
      </c>
      <c r="D65" s="6" t="s">
        <v>26</v>
      </c>
      <c r="E65" s="14">
        <v>19.3</v>
      </c>
      <c r="F65" s="8">
        <v>43698</v>
      </c>
      <c r="G65" s="9">
        <v>2019</v>
      </c>
      <c r="H65" s="7" t="s">
        <v>107</v>
      </c>
      <c r="I65" s="9">
        <v>2014</v>
      </c>
      <c r="J65" s="14">
        <v>129.5</v>
      </c>
      <c r="K65" s="15">
        <v>373</v>
      </c>
    </row>
    <row r="66" spans="1:11" x14ac:dyDescent="0.25">
      <c r="A66" s="2" t="s">
        <v>115</v>
      </c>
      <c r="B66" s="2" t="s">
        <v>33</v>
      </c>
      <c r="C66" s="2" t="s">
        <v>34</v>
      </c>
      <c r="D66" s="2" t="s">
        <v>14</v>
      </c>
      <c r="E66" s="12">
        <v>9.9</v>
      </c>
      <c r="F66" s="4">
        <v>43699</v>
      </c>
      <c r="G66" s="5">
        <v>2019</v>
      </c>
      <c r="H66" s="3" t="s">
        <v>15</v>
      </c>
      <c r="I66" s="5">
        <v>2013</v>
      </c>
      <c r="J66" s="12">
        <v>59.5</v>
      </c>
      <c r="K66" s="13">
        <v>155</v>
      </c>
    </row>
    <row r="67" spans="1:11" x14ac:dyDescent="0.25">
      <c r="A67" s="6" t="s">
        <v>116</v>
      </c>
      <c r="B67" s="6" t="s">
        <v>67</v>
      </c>
      <c r="C67" s="6" t="s">
        <v>40</v>
      </c>
      <c r="D67" s="6" t="s">
        <v>31</v>
      </c>
      <c r="E67" s="14">
        <v>1.5</v>
      </c>
      <c r="F67" s="8">
        <v>43701</v>
      </c>
      <c r="G67" s="9">
        <v>2019</v>
      </c>
      <c r="H67" s="7" t="s">
        <v>65</v>
      </c>
      <c r="I67" s="9">
        <v>2016</v>
      </c>
      <c r="J67" s="14">
        <v>7.5</v>
      </c>
      <c r="K67" s="15">
        <v>23</v>
      </c>
    </row>
    <row r="68" spans="1:11" x14ac:dyDescent="0.25">
      <c r="A68" s="2" t="s">
        <v>117</v>
      </c>
      <c r="B68" s="2" t="s">
        <v>47</v>
      </c>
      <c r="C68" s="2" t="s">
        <v>63</v>
      </c>
      <c r="D68" s="2" t="s">
        <v>31</v>
      </c>
      <c r="E68" s="12">
        <v>1.6</v>
      </c>
      <c r="F68" s="4">
        <v>43701</v>
      </c>
      <c r="G68" s="5">
        <v>2019</v>
      </c>
      <c r="H68" s="3" t="s">
        <v>65</v>
      </c>
      <c r="I68" s="5">
        <v>2018</v>
      </c>
      <c r="J68" s="12">
        <v>9</v>
      </c>
      <c r="K68" s="13">
        <v>30</v>
      </c>
    </row>
    <row r="69" spans="1:11" x14ac:dyDescent="0.25">
      <c r="A69" s="6" t="s">
        <v>118</v>
      </c>
      <c r="B69" s="6" t="s">
        <v>42</v>
      </c>
      <c r="C69" s="6" t="s">
        <v>34</v>
      </c>
      <c r="D69" s="6" t="s">
        <v>14</v>
      </c>
      <c r="E69" s="14">
        <v>13.1</v>
      </c>
      <c r="F69" s="8">
        <v>43702</v>
      </c>
      <c r="G69" s="9">
        <v>2019</v>
      </c>
      <c r="H69" s="7" t="s">
        <v>58</v>
      </c>
      <c r="I69" s="9">
        <v>2012</v>
      </c>
      <c r="J69" s="14">
        <v>52.2</v>
      </c>
      <c r="K69" s="15">
        <v>183</v>
      </c>
    </row>
    <row r="70" spans="1:11" x14ac:dyDescent="0.25">
      <c r="A70" s="2" t="s">
        <v>119</v>
      </c>
      <c r="B70" s="2" t="s">
        <v>42</v>
      </c>
      <c r="C70" s="2" t="s">
        <v>18</v>
      </c>
      <c r="D70" s="2" t="s">
        <v>19</v>
      </c>
      <c r="E70" s="12">
        <v>79.3</v>
      </c>
      <c r="F70" s="4">
        <v>43704</v>
      </c>
      <c r="G70" s="5">
        <v>2019</v>
      </c>
      <c r="H70" s="3" t="s">
        <v>58</v>
      </c>
      <c r="I70" s="5">
        <v>2012</v>
      </c>
      <c r="J70" s="12">
        <v>494.3</v>
      </c>
      <c r="K70" s="13">
        <v>1838</v>
      </c>
    </row>
    <row r="71" spans="1:11" x14ac:dyDescent="0.25">
      <c r="A71" s="6" t="s">
        <v>120</v>
      </c>
      <c r="B71" s="6" t="s">
        <v>47</v>
      </c>
      <c r="C71" s="6" t="s">
        <v>18</v>
      </c>
      <c r="D71" s="6" t="s">
        <v>31</v>
      </c>
      <c r="E71" s="14">
        <v>3.5</v>
      </c>
      <c r="F71" s="8">
        <v>43705</v>
      </c>
      <c r="G71" s="9">
        <v>2019</v>
      </c>
      <c r="H71" s="7" t="s">
        <v>58</v>
      </c>
      <c r="I71" s="9">
        <v>2016</v>
      </c>
      <c r="J71" s="14">
        <v>24.3</v>
      </c>
      <c r="K71" s="15">
        <v>56</v>
      </c>
    </row>
    <row r="72" spans="1:11" x14ac:dyDescent="0.25">
      <c r="A72" s="2" t="s">
        <v>121</v>
      </c>
      <c r="B72" s="2" t="s">
        <v>76</v>
      </c>
      <c r="C72" s="2" t="s">
        <v>18</v>
      </c>
      <c r="D72" s="2" t="s">
        <v>31</v>
      </c>
      <c r="E72" s="12">
        <v>1</v>
      </c>
      <c r="F72" s="4">
        <v>43707</v>
      </c>
      <c r="G72" s="5">
        <v>2019</v>
      </c>
      <c r="H72" s="3" t="s">
        <v>45</v>
      </c>
      <c r="I72" s="5">
        <v>2019</v>
      </c>
      <c r="J72" s="12">
        <v>7.1</v>
      </c>
      <c r="K72" s="13">
        <v>22</v>
      </c>
    </row>
    <row r="73" spans="1:11" x14ac:dyDescent="0.25">
      <c r="A73" s="6" t="s">
        <v>122</v>
      </c>
      <c r="B73" s="6" t="s">
        <v>17</v>
      </c>
      <c r="C73" s="6" t="s">
        <v>34</v>
      </c>
      <c r="D73" s="6" t="s">
        <v>35</v>
      </c>
      <c r="E73" s="14">
        <v>459.9</v>
      </c>
      <c r="F73" s="8">
        <v>43710</v>
      </c>
      <c r="G73" s="9">
        <v>2019</v>
      </c>
      <c r="H73" s="7" t="s">
        <v>123</v>
      </c>
      <c r="I73" s="9">
        <v>2017</v>
      </c>
      <c r="J73" s="14">
        <v>3318.5</v>
      </c>
      <c r="K73" s="15">
        <v>9747</v>
      </c>
    </row>
    <row r="74" spans="1:11" x14ac:dyDescent="0.25">
      <c r="A74" s="2" t="s">
        <v>124</v>
      </c>
      <c r="B74" s="2" t="s">
        <v>12</v>
      </c>
      <c r="C74" s="2" t="s">
        <v>18</v>
      </c>
      <c r="D74" s="2" t="s">
        <v>26</v>
      </c>
      <c r="E74" s="12">
        <v>27.1</v>
      </c>
      <c r="F74" s="4">
        <v>43711</v>
      </c>
      <c r="G74" s="5">
        <v>2019</v>
      </c>
      <c r="H74" s="3" t="s">
        <v>123</v>
      </c>
      <c r="I74" s="5">
        <v>2015</v>
      </c>
      <c r="J74" s="12">
        <v>163.69999999999999</v>
      </c>
      <c r="K74" s="13">
        <v>413</v>
      </c>
    </row>
    <row r="75" spans="1:11" x14ac:dyDescent="0.25">
      <c r="A75" s="6" t="s">
        <v>125</v>
      </c>
      <c r="B75" s="6" t="s">
        <v>42</v>
      </c>
      <c r="C75" s="6" t="s">
        <v>18</v>
      </c>
      <c r="D75" s="6" t="s">
        <v>26</v>
      </c>
      <c r="E75" s="14">
        <v>34.1</v>
      </c>
      <c r="F75" s="8">
        <v>43711</v>
      </c>
      <c r="G75" s="9">
        <v>2019</v>
      </c>
      <c r="H75" s="7" t="s">
        <v>23</v>
      </c>
      <c r="I75" s="9">
        <v>2014</v>
      </c>
      <c r="J75" s="14">
        <v>139.1</v>
      </c>
      <c r="K75" s="15">
        <v>311</v>
      </c>
    </row>
    <row r="76" spans="1:11" x14ac:dyDescent="0.25">
      <c r="A76" s="2" t="s">
        <v>126</v>
      </c>
      <c r="B76" s="2" t="s">
        <v>100</v>
      </c>
      <c r="C76" s="2" t="s">
        <v>18</v>
      </c>
      <c r="D76" s="2" t="s">
        <v>35</v>
      </c>
      <c r="E76" s="12">
        <v>272.7</v>
      </c>
      <c r="F76" s="4">
        <v>43714</v>
      </c>
      <c r="G76" s="5">
        <v>2019</v>
      </c>
      <c r="H76" s="3" t="s">
        <v>50</v>
      </c>
      <c r="I76" s="5">
        <v>2012</v>
      </c>
      <c r="J76" s="12">
        <v>2853.8</v>
      </c>
      <c r="K76" s="13">
        <v>9179</v>
      </c>
    </row>
    <row r="77" spans="1:11" x14ac:dyDescent="0.25">
      <c r="A77" s="6" t="s">
        <v>127</v>
      </c>
      <c r="B77" s="6" t="s">
        <v>29</v>
      </c>
      <c r="C77" s="6" t="s">
        <v>63</v>
      </c>
      <c r="D77" s="6" t="s">
        <v>14</v>
      </c>
      <c r="E77" s="14">
        <v>10</v>
      </c>
      <c r="F77" s="8">
        <v>43715</v>
      </c>
      <c r="G77" s="9">
        <v>2019</v>
      </c>
      <c r="H77" s="7" t="s">
        <v>107</v>
      </c>
      <c r="I77" s="9">
        <v>2017</v>
      </c>
      <c r="J77" s="14">
        <v>75.400000000000006</v>
      </c>
      <c r="K77" s="15">
        <v>237</v>
      </c>
    </row>
    <row r="78" spans="1:11" x14ac:dyDescent="0.25">
      <c r="A78" s="2" t="s">
        <v>128</v>
      </c>
      <c r="B78" s="2" t="s">
        <v>42</v>
      </c>
      <c r="C78" s="2" t="s">
        <v>18</v>
      </c>
      <c r="D78" s="2" t="s">
        <v>19</v>
      </c>
      <c r="E78" s="12">
        <v>130.5</v>
      </c>
      <c r="F78" s="4">
        <v>43716</v>
      </c>
      <c r="G78" s="5">
        <v>2019</v>
      </c>
      <c r="H78" s="3" t="s">
        <v>65</v>
      </c>
      <c r="I78" s="5">
        <v>2016</v>
      </c>
      <c r="J78" s="12">
        <v>1163.2</v>
      </c>
      <c r="K78" s="13">
        <v>4519</v>
      </c>
    </row>
    <row r="79" spans="1:11" x14ac:dyDescent="0.25">
      <c r="A79" s="6" t="s">
        <v>129</v>
      </c>
      <c r="B79" s="6" t="s">
        <v>29</v>
      </c>
      <c r="C79" s="6" t="s">
        <v>30</v>
      </c>
      <c r="D79" s="6" t="s">
        <v>31</v>
      </c>
      <c r="E79" s="14">
        <v>2.5</v>
      </c>
      <c r="F79" s="8">
        <v>43718</v>
      </c>
      <c r="G79" s="9">
        <v>2019</v>
      </c>
      <c r="H79" s="7" t="s">
        <v>43</v>
      </c>
      <c r="I79" s="9">
        <v>2017</v>
      </c>
      <c r="J79" s="14">
        <v>18.100000000000001</v>
      </c>
      <c r="K79" s="15">
        <v>60</v>
      </c>
    </row>
    <row r="80" spans="1:11" x14ac:dyDescent="0.25">
      <c r="A80" s="2" t="s">
        <v>130</v>
      </c>
      <c r="B80" s="2" t="s">
        <v>47</v>
      </c>
      <c r="C80" s="2" t="s">
        <v>34</v>
      </c>
      <c r="D80" s="2" t="s">
        <v>26</v>
      </c>
      <c r="E80" s="12">
        <v>34</v>
      </c>
      <c r="F80" s="4">
        <v>43723</v>
      </c>
      <c r="G80" s="5">
        <v>2019</v>
      </c>
      <c r="H80" s="3" t="s">
        <v>43</v>
      </c>
      <c r="I80" s="5">
        <v>2012</v>
      </c>
      <c r="J80" s="12">
        <v>213.7</v>
      </c>
      <c r="K80" s="13">
        <v>585</v>
      </c>
    </row>
    <row r="81" spans="1:11" x14ac:dyDescent="0.25">
      <c r="A81" s="6" t="s">
        <v>131</v>
      </c>
      <c r="B81" s="6" t="s">
        <v>47</v>
      </c>
      <c r="C81" s="6" t="s">
        <v>18</v>
      </c>
      <c r="D81" s="6" t="s">
        <v>31</v>
      </c>
      <c r="E81" s="14">
        <v>1.8</v>
      </c>
      <c r="F81" s="8">
        <v>43725</v>
      </c>
      <c r="G81" s="9">
        <v>2019</v>
      </c>
      <c r="H81" s="7" t="s">
        <v>15</v>
      </c>
      <c r="I81" s="9">
        <v>2019</v>
      </c>
      <c r="J81" s="14">
        <v>10.7</v>
      </c>
      <c r="K81" s="15">
        <v>42</v>
      </c>
    </row>
    <row r="82" spans="1:11" x14ac:dyDescent="0.25">
      <c r="A82" s="2" t="s">
        <v>132</v>
      </c>
      <c r="B82" s="2" t="s">
        <v>33</v>
      </c>
      <c r="C82" s="2" t="s">
        <v>18</v>
      </c>
      <c r="D82" s="2" t="s">
        <v>14</v>
      </c>
      <c r="E82" s="12">
        <v>13.5</v>
      </c>
      <c r="F82" s="4">
        <v>43728</v>
      </c>
      <c r="G82" s="5">
        <v>2019</v>
      </c>
      <c r="H82" s="3" t="s">
        <v>53</v>
      </c>
      <c r="I82" s="5">
        <v>2018</v>
      </c>
      <c r="J82" s="12">
        <v>103.3</v>
      </c>
      <c r="K82" s="13">
        <v>337</v>
      </c>
    </row>
    <row r="83" spans="1:11" x14ac:dyDescent="0.25">
      <c r="A83" s="6" t="s">
        <v>133</v>
      </c>
      <c r="B83" s="6" t="s">
        <v>12</v>
      </c>
      <c r="C83" s="6" t="s">
        <v>13</v>
      </c>
      <c r="D83" s="6" t="s">
        <v>31</v>
      </c>
      <c r="E83" s="14">
        <v>0.7</v>
      </c>
      <c r="F83" s="8">
        <v>43733</v>
      </c>
      <c r="G83" s="9">
        <v>2019</v>
      </c>
      <c r="H83" s="7" t="s">
        <v>58</v>
      </c>
      <c r="I83" s="9">
        <v>2012</v>
      </c>
      <c r="J83" s="14">
        <v>6.1</v>
      </c>
      <c r="K83" s="15">
        <v>10</v>
      </c>
    </row>
    <row r="84" spans="1:11" x14ac:dyDescent="0.25">
      <c r="A84" s="2" t="s">
        <v>134</v>
      </c>
      <c r="B84" s="2" t="s">
        <v>104</v>
      </c>
      <c r="C84" s="2" t="s">
        <v>13</v>
      </c>
      <c r="D84" s="2" t="s">
        <v>26</v>
      </c>
      <c r="E84" s="12">
        <v>32.1</v>
      </c>
      <c r="F84" s="4">
        <v>43735</v>
      </c>
      <c r="G84" s="5">
        <v>2019</v>
      </c>
      <c r="H84" s="3" t="s">
        <v>123</v>
      </c>
      <c r="I84" s="5">
        <v>2017</v>
      </c>
      <c r="J84" s="12">
        <v>188</v>
      </c>
      <c r="K84" s="13">
        <v>529</v>
      </c>
    </row>
    <row r="85" spans="1:11" x14ac:dyDescent="0.25">
      <c r="A85" s="6" t="s">
        <v>135</v>
      </c>
      <c r="B85" s="6" t="s">
        <v>12</v>
      </c>
      <c r="C85" s="6" t="s">
        <v>18</v>
      </c>
      <c r="D85" s="6" t="s">
        <v>26</v>
      </c>
      <c r="E85" s="14">
        <v>33.700000000000003</v>
      </c>
      <c r="F85" s="8">
        <v>43736</v>
      </c>
      <c r="G85" s="9">
        <v>2019</v>
      </c>
      <c r="H85" s="7" t="s">
        <v>27</v>
      </c>
      <c r="I85" s="9">
        <v>2018</v>
      </c>
      <c r="J85" s="14">
        <v>134.19999999999999</v>
      </c>
      <c r="K85" s="15">
        <v>270</v>
      </c>
    </row>
    <row r="86" spans="1:11" x14ac:dyDescent="0.25">
      <c r="A86" s="2" t="s">
        <v>136</v>
      </c>
      <c r="B86" s="2" t="s">
        <v>12</v>
      </c>
      <c r="C86" s="2" t="s">
        <v>13</v>
      </c>
      <c r="D86" s="2" t="s">
        <v>14</v>
      </c>
      <c r="E86" s="12">
        <v>8.4</v>
      </c>
      <c r="F86" s="4">
        <v>43737</v>
      </c>
      <c r="G86" s="5">
        <v>2019</v>
      </c>
      <c r="H86" s="3" t="s">
        <v>20</v>
      </c>
      <c r="I86" s="5">
        <v>2014</v>
      </c>
      <c r="J86" s="12">
        <v>54.6</v>
      </c>
      <c r="K86" s="13">
        <v>175</v>
      </c>
    </row>
    <row r="87" spans="1:11" x14ac:dyDescent="0.25">
      <c r="A87" s="6" t="s">
        <v>137</v>
      </c>
      <c r="B87" s="6" t="s">
        <v>39</v>
      </c>
      <c r="C87" s="6" t="s">
        <v>71</v>
      </c>
      <c r="D87" s="6" t="s">
        <v>14</v>
      </c>
      <c r="E87" s="14">
        <v>11.8</v>
      </c>
      <c r="F87" s="8">
        <v>43742</v>
      </c>
      <c r="G87" s="9">
        <v>2019</v>
      </c>
      <c r="H87" s="7" t="s">
        <v>123</v>
      </c>
      <c r="I87" s="9">
        <v>2012</v>
      </c>
      <c r="J87" s="14">
        <v>87.1</v>
      </c>
      <c r="K87" s="15">
        <v>167</v>
      </c>
    </row>
    <row r="88" spans="1:11" x14ac:dyDescent="0.25">
      <c r="A88" s="2" t="s">
        <v>138</v>
      </c>
      <c r="B88" s="2" t="s">
        <v>76</v>
      </c>
      <c r="C88" s="2" t="s">
        <v>13</v>
      </c>
      <c r="D88" s="2" t="s">
        <v>14</v>
      </c>
      <c r="E88" s="12">
        <v>6.2</v>
      </c>
      <c r="F88" s="4">
        <v>43742</v>
      </c>
      <c r="G88" s="5">
        <v>2019</v>
      </c>
      <c r="H88" s="3" t="s">
        <v>50</v>
      </c>
      <c r="I88" s="5">
        <v>2014</v>
      </c>
      <c r="J88" s="12">
        <v>41.1</v>
      </c>
      <c r="K88" s="13">
        <v>88</v>
      </c>
    </row>
    <row r="89" spans="1:11" x14ac:dyDescent="0.25">
      <c r="A89" s="6" t="s">
        <v>139</v>
      </c>
      <c r="B89" s="6" t="s">
        <v>42</v>
      </c>
      <c r="C89" s="6" t="s">
        <v>40</v>
      </c>
      <c r="D89" s="6" t="s">
        <v>26</v>
      </c>
      <c r="E89" s="14">
        <v>58.4</v>
      </c>
      <c r="F89" s="8">
        <v>43746</v>
      </c>
      <c r="G89" s="9">
        <v>2019</v>
      </c>
      <c r="H89" s="7" t="s">
        <v>53</v>
      </c>
      <c r="I89" s="9">
        <v>2019</v>
      </c>
      <c r="J89" s="14">
        <v>321.60000000000002</v>
      </c>
      <c r="K89" s="15">
        <v>491</v>
      </c>
    </row>
    <row r="90" spans="1:11" x14ac:dyDescent="0.25">
      <c r="A90" s="2" t="s">
        <v>140</v>
      </c>
      <c r="B90" s="2" t="s">
        <v>39</v>
      </c>
      <c r="C90" s="2" t="s">
        <v>63</v>
      </c>
      <c r="D90" s="2" t="s">
        <v>14</v>
      </c>
      <c r="E90" s="12">
        <v>11.5</v>
      </c>
      <c r="F90" s="4">
        <v>43751</v>
      </c>
      <c r="G90" s="5">
        <v>2019</v>
      </c>
      <c r="H90" s="3" t="s">
        <v>50</v>
      </c>
      <c r="I90" s="5">
        <v>2012</v>
      </c>
      <c r="J90" s="12">
        <v>58.8</v>
      </c>
      <c r="K90" s="13">
        <v>189</v>
      </c>
    </row>
    <row r="91" spans="1:11" x14ac:dyDescent="0.25">
      <c r="A91" s="6" t="s">
        <v>141</v>
      </c>
      <c r="B91" s="6" t="s">
        <v>33</v>
      </c>
      <c r="C91" s="6" t="s">
        <v>71</v>
      </c>
      <c r="D91" s="6" t="s">
        <v>31</v>
      </c>
      <c r="E91" s="14">
        <v>2.8</v>
      </c>
      <c r="F91" s="8">
        <v>43760</v>
      </c>
      <c r="G91" s="9">
        <v>2019</v>
      </c>
      <c r="H91" s="7" t="s">
        <v>45</v>
      </c>
      <c r="I91" s="9">
        <v>2015</v>
      </c>
      <c r="J91" s="14">
        <v>25.7</v>
      </c>
      <c r="K91" s="15">
        <v>87</v>
      </c>
    </row>
    <row r="92" spans="1:11" x14ac:dyDescent="0.25">
      <c r="A92" s="2" t="s">
        <v>142</v>
      </c>
      <c r="B92" s="2" t="s">
        <v>76</v>
      </c>
      <c r="C92" s="2" t="s">
        <v>34</v>
      </c>
      <c r="D92" s="2" t="s">
        <v>14</v>
      </c>
      <c r="E92" s="12">
        <v>8.9</v>
      </c>
      <c r="F92" s="4">
        <v>43761</v>
      </c>
      <c r="G92" s="5">
        <v>2019</v>
      </c>
      <c r="H92" s="3" t="s">
        <v>23</v>
      </c>
      <c r="I92" s="5">
        <v>2017</v>
      </c>
      <c r="J92" s="12">
        <v>37.5</v>
      </c>
      <c r="K92" s="13">
        <v>136</v>
      </c>
    </row>
    <row r="93" spans="1:11" x14ac:dyDescent="0.25">
      <c r="A93" s="6" t="s">
        <v>143</v>
      </c>
      <c r="B93" s="6" t="s">
        <v>42</v>
      </c>
      <c r="C93" s="6" t="s">
        <v>34</v>
      </c>
      <c r="D93" s="6" t="s">
        <v>14</v>
      </c>
      <c r="E93" s="14">
        <v>7.4</v>
      </c>
      <c r="F93" s="8">
        <v>43763</v>
      </c>
      <c r="G93" s="9">
        <v>2019</v>
      </c>
      <c r="H93" s="7" t="s">
        <v>43</v>
      </c>
      <c r="I93" s="9">
        <v>2019</v>
      </c>
      <c r="J93" s="14">
        <v>48.4</v>
      </c>
      <c r="K93" s="15">
        <v>143</v>
      </c>
    </row>
    <row r="94" spans="1:11" x14ac:dyDescent="0.25">
      <c r="A94" s="2" t="s">
        <v>144</v>
      </c>
      <c r="B94" s="2" t="s">
        <v>33</v>
      </c>
      <c r="C94" s="2" t="s">
        <v>71</v>
      </c>
      <c r="D94" s="2" t="s">
        <v>31</v>
      </c>
      <c r="E94" s="12">
        <v>2.5</v>
      </c>
      <c r="F94" s="4">
        <v>43764</v>
      </c>
      <c r="G94" s="5">
        <v>2019</v>
      </c>
      <c r="H94" s="3" t="s">
        <v>58</v>
      </c>
      <c r="I94" s="5">
        <v>2018</v>
      </c>
      <c r="J94" s="12">
        <v>22.3</v>
      </c>
      <c r="K94" s="13">
        <v>47</v>
      </c>
    </row>
    <row r="95" spans="1:11" x14ac:dyDescent="0.25">
      <c r="A95" s="6" t="s">
        <v>145</v>
      </c>
      <c r="B95" s="6" t="s">
        <v>33</v>
      </c>
      <c r="C95" s="6" t="s">
        <v>40</v>
      </c>
      <c r="D95" s="6" t="s">
        <v>35</v>
      </c>
      <c r="E95" s="14">
        <v>161.6</v>
      </c>
      <c r="F95" s="8">
        <v>43766</v>
      </c>
      <c r="G95" s="9">
        <v>2019</v>
      </c>
      <c r="H95" s="7" t="s">
        <v>60</v>
      </c>
      <c r="I95" s="9">
        <v>2017</v>
      </c>
      <c r="J95" s="14">
        <v>1117.8</v>
      </c>
      <c r="K95" s="15">
        <v>2843</v>
      </c>
    </row>
    <row r="96" spans="1:11" x14ac:dyDescent="0.25">
      <c r="A96" s="2" t="s">
        <v>146</v>
      </c>
      <c r="B96" s="2" t="s">
        <v>17</v>
      </c>
      <c r="C96" s="2" t="s">
        <v>13</v>
      </c>
      <c r="D96" s="2" t="s">
        <v>26</v>
      </c>
      <c r="E96" s="12">
        <v>18.600000000000001</v>
      </c>
      <c r="F96" s="4">
        <v>43773</v>
      </c>
      <c r="G96" s="5">
        <v>2019</v>
      </c>
      <c r="H96" s="3" t="s">
        <v>45</v>
      </c>
      <c r="I96" s="5">
        <v>2015</v>
      </c>
      <c r="J96" s="12">
        <v>107</v>
      </c>
      <c r="K96" s="13">
        <v>377</v>
      </c>
    </row>
    <row r="97" spans="1:11" x14ac:dyDescent="0.25">
      <c r="A97" s="6" t="s">
        <v>147</v>
      </c>
      <c r="B97" s="6" t="s">
        <v>33</v>
      </c>
      <c r="C97" s="6" t="s">
        <v>63</v>
      </c>
      <c r="D97" s="6" t="s">
        <v>31</v>
      </c>
      <c r="E97" s="14">
        <v>0.8</v>
      </c>
      <c r="F97" s="8">
        <v>43778</v>
      </c>
      <c r="G97" s="9">
        <v>2019</v>
      </c>
      <c r="H97" s="7" t="s">
        <v>20</v>
      </c>
      <c r="I97" s="9">
        <v>2017</v>
      </c>
      <c r="J97" s="14">
        <v>7.4</v>
      </c>
      <c r="K97" s="15">
        <v>25</v>
      </c>
    </row>
    <row r="98" spans="1:11" x14ac:dyDescent="0.25">
      <c r="A98" s="2" t="s">
        <v>148</v>
      </c>
      <c r="B98" s="2" t="s">
        <v>104</v>
      </c>
      <c r="C98" s="2" t="s">
        <v>34</v>
      </c>
      <c r="D98" s="2" t="s">
        <v>19</v>
      </c>
      <c r="E98" s="12">
        <v>107.5</v>
      </c>
      <c r="F98" s="4">
        <v>43783</v>
      </c>
      <c r="G98" s="5">
        <v>2019</v>
      </c>
      <c r="H98" s="3" t="s">
        <v>15</v>
      </c>
      <c r="I98" s="5">
        <v>2012</v>
      </c>
      <c r="J98" s="12">
        <v>835.5</v>
      </c>
      <c r="K98" s="13">
        <v>2538</v>
      </c>
    </row>
    <row r="99" spans="1:11" x14ac:dyDescent="0.25">
      <c r="A99" s="6" t="s">
        <v>149</v>
      </c>
      <c r="B99" s="6" t="s">
        <v>33</v>
      </c>
      <c r="C99" s="6" t="s">
        <v>34</v>
      </c>
      <c r="D99" s="6" t="s">
        <v>14</v>
      </c>
      <c r="E99" s="14">
        <v>7.9</v>
      </c>
      <c r="F99" s="8">
        <v>43786</v>
      </c>
      <c r="G99" s="9">
        <v>2019</v>
      </c>
      <c r="H99" s="7" t="s">
        <v>37</v>
      </c>
      <c r="I99" s="9">
        <v>2019</v>
      </c>
      <c r="J99" s="14">
        <v>60</v>
      </c>
      <c r="K99" s="15">
        <v>215</v>
      </c>
    </row>
    <row r="100" spans="1:11" x14ac:dyDescent="0.25">
      <c r="A100" s="2" t="s">
        <v>150</v>
      </c>
      <c r="B100" s="2" t="s">
        <v>12</v>
      </c>
      <c r="C100" s="2" t="s">
        <v>13</v>
      </c>
      <c r="D100" s="2" t="s">
        <v>19</v>
      </c>
      <c r="E100" s="12">
        <v>86.6</v>
      </c>
      <c r="F100" s="4">
        <v>43796</v>
      </c>
      <c r="G100" s="5">
        <v>2019</v>
      </c>
      <c r="H100" s="3" t="s">
        <v>107</v>
      </c>
      <c r="I100" s="5">
        <v>2012</v>
      </c>
      <c r="J100" s="12">
        <v>800.2</v>
      </c>
      <c r="K100" s="13">
        <v>2022</v>
      </c>
    </row>
    <row r="101" spans="1:11" x14ac:dyDescent="0.25">
      <c r="A101" s="6" t="s">
        <v>151</v>
      </c>
      <c r="B101" s="6" t="s">
        <v>33</v>
      </c>
      <c r="C101" s="6" t="s">
        <v>48</v>
      </c>
      <c r="D101" s="6" t="s">
        <v>14</v>
      </c>
      <c r="E101" s="14">
        <v>12</v>
      </c>
      <c r="F101" s="8">
        <v>43799</v>
      </c>
      <c r="G101" s="9">
        <v>2019</v>
      </c>
      <c r="H101" s="7" t="s">
        <v>20</v>
      </c>
      <c r="I101" s="9">
        <v>2019</v>
      </c>
      <c r="J101" s="14">
        <v>77</v>
      </c>
      <c r="K101" s="15">
        <v>134</v>
      </c>
    </row>
    <row r="102" spans="1:11" x14ac:dyDescent="0.25">
      <c r="A102" s="2" t="s">
        <v>152</v>
      </c>
      <c r="B102" s="2" t="s">
        <v>17</v>
      </c>
      <c r="C102" s="2" t="s">
        <v>18</v>
      </c>
      <c r="D102" s="2" t="s">
        <v>35</v>
      </c>
      <c r="E102" s="12">
        <v>175.5</v>
      </c>
      <c r="F102" s="4">
        <v>43802</v>
      </c>
      <c r="G102" s="5">
        <v>2019</v>
      </c>
      <c r="H102" s="3" t="s">
        <v>43</v>
      </c>
      <c r="I102" s="5">
        <v>2017</v>
      </c>
      <c r="J102" s="12">
        <v>1694.2</v>
      </c>
      <c r="K102" s="13">
        <v>3976</v>
      </c>
    </row>
    <row r="103" spans="1:11" x14ac:dyDescent="0.25">
      <c r="A103" s="6" t="s">
        <v>153</v>
      </c>
      <c r="B103" s="6" t="s">
        <v>42</v>
      </c>
      <c r="C103" s="6" t="s">
        <v>18</v>
      </c>
      <c r="D103" s="6" t="s">
        <v>31</v>
      </c>
      <c r="E103" s="14">
        <v>0.6</v>
      </c>
      <c r="F103" s="8">
        <v>43809</v>
      </c>
      <c r="G103" s="9">
        <v>2019</v>
      </c>
      <c r="H103" s="7" t="s">
        <v>45</v>
      </c>
      <c r="I103" s="9">
        <v>2017</v>
      </c>
      <c r="J103" s="14">
        <v>5.7</v>
      </c>
      <c r="K103" s="15">
        <v>16</v>
      </c>
    </row>
    <row r="104" spans="1:11" x14ac:dyDescent="0.25">
      <c r="A104" s="2" t="s">
        <v>154</v>
      </c>
      <c r="B104" s="2" t="s">
        <v>104</v>
      </c>
      <c r="C104" s="2" t="s">
        <v>13</v>
      </c>
      <c r="D104" s="2" t="s">
        <v>26</v>
      </c>
      <c r="E104" s="12">
        <v>37.4</v>
      </c>
      <c r="F104" s="4">
        <v>43809</v>
      </c>
      <c r="G104" s="5">
        <v>2019</v>
      </c>
      <c r="H104" s="3" t="s">
        <v>45</v>
      </c>
      <c r="I104" s="5">
        <v>2013</v>
      </c>
      <c r="J104" s="12">
        <v>244.6</v>
      </c>
      <c r="K104" s="13">
        <v>629</v>
      </c>
    </row>
    <row r="105" spans="1:11" x14ac:dyDescent="0.25">
      <c r="A105" s="6" t="s">
        <v>155</v>
      </c>
      <c r="B105" s="6" t="s">
        <v>29</v>
      </c>
      <c r="C105" s="6" t="s">
        <v>13</v>
      </c>
      <c r="D105" s="6" t="s">
        <v>31</v>
      </c>
      <c r="E105" s="14">
        <v>3.6</v>
      </c>
      <c r="F105" s="8">
        <v>43812</v>
      </c>
      <c r="G105" s="9">
        <v>2019</v>
      </c>
      <c r="H105" s="7" t="s">
        <v>65</v>
      </c>
      <c r="I105" s="9">
        <v>2015</v>
      </c>
      <c r="J105" s="14">
        <v>27.9</v>
      </c>
      <c r="K105" s="15">
        <v>71</v>
      </c>
    </row>
    <row r="106" spans="1:11" x14ac:dyDescent="0.25">
      <c r="A106" s="2" t="s">
        <v>156</v>
      </c>
      <c r="B106" s="2" t="s">
        <v>33</v>
      </c>
      <c r="C106" s="2" t="s">
        <v>25</v>
      </c>
      <c r="D106" s="2" t="s">
        <v>26</v>
      </c>
      <c r="E106" s="12">
        <v>46.5</v>
      </c>
      <c r="F106" s="4">
        <v>43814</v>
      </c>
      <c r="G106" s="5">
        <v>2019</v>
      </c>
      <c r="H106" s="3" t="s">
        <v>123</v>
      </c>
      <c r="I106" s="5">
        <v>2012</v>
      </c>
      <c r="J106" s="12">
        <v>163</v>
      </c>
      <c r="K106" s="13">
        <v>295</v>
      </c>
    </row>
    <row r="107" spans="1:11" x14ac:dyDescent="0.25">
      <c r="A107" s="6" t="s">
        <v>157</v>
      </c>
      <c r="B107" s="6" t="s">
        <v>12</v>
      </c>
      <c r="C107" s="6" t="s">
        <v>13</v>
      </c>
      <c r="D107" s="6" t="s">
        <v>31</v>
      </c>
      <c r="E107" s="14">
        <v>3.3</v>
      </c>
      <c r="F107" s="8">
        <v>43821</v>
      </c>
      <c r="G107" s="9">
        <v>2019</v>
      </c>
      <c r="H107" s="7" t="s">
        <v>23</v>
      </c>
      <c r="I107" s="9">
        <v>2018</v>
      </c>
      <c r="J107" s="14">
        <v>22.1</v>
      </c>
      <c r="K107" s="15">
        <v>74</v>
      </c>
    </row>
    <row r="108" spans="1:11" x14ac:dyDescent="0.25">
      <c r="A108" s="2" t="s">
        <v>158</v>
      </c>
      <c r="B108" s="2" t="s">
        <v>29</v>
      </c>
      <c r="C108" s="2" t="s">
        <v>25</v>
      </c>
      <c r="D108" s="2" t="s">
        <v>14</v>
      </c>
      <c r="E108" s="12">
        <v>11.6</v>
      </c>
      <c r="F108" s="4">
        <v>43822</v>
      </c>
      <c r="G108" s="5">
        <v>2019</v>
      </c>
      <c r="H108" s="3" t="s">
        <v>58</v>
      </c>
      <c r="I108" s="5">
        <v>2014</v>
      </c>
      <c r="J108" s="12">
        <v>48.6</v>
      </c>
      <c r="K108" s="13">
        <v>104</v>
      </c>
    </row>
    <row r="109" spans="1:11" x14ac:dyDescent="0.25">
      <c r="A109" s="6" t="s">
        <v>159</v>
      </c>
      <c r="B109" s="6" t="s">
        <v>76</v>
      </c>
      <c r="C109" s="6" t="s">
        <v>13</v>
      </c>
      <c r="D109" s="6" t="s">
        <v>31</v>
      </c>
      <c r="E109" s="14">
        <v>1.7</v>
      </c>
      <c r="F109" s="8">
        <v>43823</v>
      </c>
      <c r="G109" s="9">
        <v>2019</v>
      </c>
      <c r="H109" s="7" t="s">
        <v>45</v>
      </c>
      <c r="I109" s="9">
        <v>2017</v>
      </c>
      <c r="J109" s="14">
        <v>14.3</v>
      </c>
      <c r="K109" s="15">
        <v>56</v>
      </c>
    </row>
    <row r="110" spans="1:11" x14ac:dyDescent="0.25">
      <c r="A110" s="2" t="s">
        <v>160</v>
      </c>
      <c r="B110" s="2" t="s">
        <v>47</v>
      </c>
      <c r="C110" s="2" t="s">
        <v>18</v>
      </c>
      <c r="D110" s="2" t="s">
        <v>26</v>
      </c>
      <c r="E110" s="12">
        <v>44.6</v>
      </c>
      <c r="F110" s="4">
        <v>43825</v>
      </c>
      <c r="G110" s="5">
        <v>2019</v>
      </c>
      <c r="H110" s="3" t="s">
        <v>60</v>
      </c>
      <c r="I110" s="5">
        <v>2017</v>
      </c>
      <c r="J110" s="12">
        <v>311.10000000000002</v>
      </c>
      <c r="K110" s="13">
        <v>647</v>
      </c>
    </row>
    <row r="111" spans="1:11" x14ac:dyDescent="0.25">
      <c r="A111" s="6" t="s">
        <v>161</v>
      </c>
      <c r="B111" s="6" t="s">
        <v>47</v>
      </c>
      <c r="C111" s="6" t="s">
        <v>18</v>
      </c>
      <c r="D111" s="6" t="s">
        <v>31</v>
      </c>
      <c r="E111" s="14">
        <v>0.4</v>
      </c>
      <c r="F111" s="8">
        <v>43827</v>
      </c>
      <c r="G111" s="9">
        <v>2019</v>
      </c>
      <c r="H111" s="7" t="s">
        <v>15</v>
      </c>
      <c r="I111" s="9">
        <v>2015</v>
      </c>
      <c r="J111" s="14">
        <v>3.6</v>
      </c>
      <c r="K111" s="15">
        <v>8</v>
      </c>
    </row>
    <row r="112" spans="1:11" x14ac:dyDescent="0.25">
      <c r="A112" s="2" t="s">
        <v>162</v>
      </c>
      <c r="B112" s="2" t="s">
        <v>47</v>
      </c>
      <c r="C112" s="2" t="s">
        <v>18</v>
      </c>
      <c r="D112" s="2" t="s">
        <v>14</v>
      </c>
      <c r="E112" s="12">
        <v>12.7</v>
      </c>
      <c r="F112" s="4">
        <v>43830</v>
      </c>
      <c r="G112" s="5">
        <v>2019</v>
      </c>
      <c r="H112" s="3" t="s">
        <v>23</v>
      </c>
      <c r="I112" s="5">
        <v>2017</v>
      </c>
      <c r="J112" s="12">
        <v>86.6</v>
      </c>
      <c r="K112" s="13">
        <v>167</v>
      </c>
    </row>
    <row r="113" spans="1:11" x14ac:dyDescent="0.25">
      <c r="A113" s="6" t="s">
        <v>163</v>
      </c>
      <c r="B113" s="6" t="s">
        <v>29</v>
      </c>
      <c r="C113" s="6" t="s">
        <v>13</v>
      </c>
      <c r="D113" s="6" t="s">
        <v>31</v>
      </c>
      <c r="E113" s="14">
        <v>2.8</v>
      </c>
      <c r="F113" s="8">
        <v>43830</v>
      </c>
      <c r="G113" s="9">
        <v>2019</v>
      </c>
      <c r="H113" s="7" t="s">
        <v>123</v>
      </c>
      <c r="I113" s="9">
        <v>2015</v>
      </c>
      <c r="J113" s="14">
        <v>16.399999999999999</v>
      </c>
      <c r="K113" s="15">
        <v>32</v>
      </c>
    </row>
    <row r="114" spans="1:11" x14ac:dyDescent="0.25">
      <c r="A114" s="2" t="s">
        <v>164</v>
      </c>
      <c r="B114" s="2" t="s">
        <v>42</v>
      </c>
      <c r="C114" s="2" t="s">
        <v>18</v>
      </c>
      <c r="D114" s="2" t="s">
        <v>26</v>
      </c>
      <c r="E114" s="12">
        <v>34.4</v>
      </c>
      <c r="F114" s="4">
        <v>43833</v>
      </c>
      <c r="G114" s="5">
        <v>2020</v>
      </c>
      <c r="H114" s="3" t="s">
        <v>37</v>
      </c>
      <c r="I114" s="5">
        <v>2017</v>
      </c>
      <c r="J114" s="12">
        <v>162.80000000000001</v>
      </c>
      <c r="K114" s="13">
        <v>370</v>
      </c>
    </row>
    <row r="115" spans="1:11" x14ac:dyDescent="0.25">
      <c r="A115" s="6" t="s">
        <v>165</v>
      </c>
      <c r="B115" s="6" t="s">
        <v>47</v>
      </c>
      <c r="C115" s="6" t="s">
        <v>71</v>
      </c>
      <c r="D115" s="6" t="s">
        <v>35</v>
      </c>
      <c r="E115" s="14">
        <v>382.3</v>
      </c>
      <c r="F115" s="8">
        <v>43838</v>
      </c>
      <c r="G115" s="9">
        <v>2020</v>
      </c>
      <c r="H115" s="7" t="s">
        <v>23</v>
      </c>
      <c r="I115" s="9">
        <v>2016</v>
      </c>
      <c r="J115" s="14">
        <v>2985.6</v>
      </c>
      <c r="K115" s="15">
        <v>6064</v>
      </c>
    </row>
    <row r="116" spans="1:11" x14ac:dyDescent="0.25">
      <c r="A116" s="2" t="s">
        <v>166</v>
      </c>
      <c r="B116" s="2" t="s">
        <v>29</v>
      </c>
      <c r="C116" s="2" t="s">
        <v>40</v>
      </c>
      <c r="D116" s="2" t="s">
        <v>31</v>
      </c>
      <c r="E116" s="12">
        <v>1.6</v>
      </c>
      <c r="F116" s="4">
        <v>43840</v>
      </c>
      <c r="G116" s="5">
        <v>2020</v>
      </c>
      <c r="H116" s="3" t="s">
        <v>58</v>
      </c>
      <c r="I116" s="5">
        <v>2020</v>
      </c>
      <c r="J116" s="12">
        <v>12.2</v>
      </c>
      <c r="K116" s="13">
        <v>44</v>
      </c>
    </row>
    <row r="117" spans="1:11" x14ac:dyDescent="0.25">
      <c r="A117" s="6" t="s">
        <v>167</v>
      </c>
      <c r="B117" s="6" t="s">
        <v>39</v>
      </c>
      <c r="C117" s="6" t="s">
        <v>34</v>
      </c>
      <c r="D117" s="6" t="s">
        <v>31</v>
      </c>
      <c r="E117" s="14">
        <v>1</v>
      </c>
      <c r="F117" s="8">
        <v>43842</v>
      </c>
      <c r="G117" s="9">
        <v>2020</v>
      </c>
      <c r="H117" s="7" t="s">
        <v>43</v>
      </c>
      <c r="I117" s="9">
        <v>2015</v>
      </c>
      <c r="J117" s="14">
        <v>4.2</v>
      </c>
      <c r="K117" s="15">
        <v>8</v>
      </c>
    </row>
    <row r="118" spans="1:11" x14ac:dyDescent="0.25">
      <c r="A118" s="2" t="s">
        <v>168</v>
      </c>
      <c r="B118" s="2" t="s">
        <v>29</v>
      </c>
      <c r="C118" s="2" t="s">
        <v>13</v>
      </c>
      <c r="D118" s="2" t="s">
        <v>26</v>
      </c>
      <c r="E118" s="12">
        <v>45.6</v>
      </c>
      <c r="F118" s="4">
        <v>43845</v>
      </c>
      <c r="G118" s="5">
        <v>2020</v>
      </c>
      <c r="H118" s="3" t="s">
        <v>107</v>
      </c>
      <c r="I118" s="5">
        <v>2016</v>
      </c>
      <c r="J118" s="12">
        <v>183.1</v>
      </c>
      <c r="K118" s="13">
        <v>334</v>
      </c>
    </row>
    <row r="119" spans="1:11" x14ac:dyDescent="0.25">
      <c r="A119" s="6" t="s">
        <v>169</v>
      </c>
      <c r="B119" s="6" t="s">
        <v>47</v>
      </c>
      <c r="C119" s="6" t="s">
        <v>25</v>
      </c>
      <c r="D119" s="6" t="s">
        <v>14</v>
      </c>
      <c r="E119" s="14">
        <v>9.1999999999999993</v>
      </c>
      <c r="F119" s="8">
        <v>43848</v>
      </c>
      <c r="G119" s="9">
        <v>2020</v>
      </c>
      <c r="H119" s="7" t="s">
        <v>53</v>
      </c>
      <c r="I119" s="9">
        <v>2019</v>
      </c>
      <c r="J119" s="14">
        <v>55.6</v>
      </c>
      <c r="K119" s="15">
        <v>102</v>
      </c>
    </row>
    <row r="120" spans="1:11" x14ac:dyDescent="0.25">
      <c r="A120" s="2" t="s">
        <v>170</v>
      </c>
      <c r="B120" s="2" t="s">
        <v>42</v>
      </c>
      <c r="C120" s="2" t="s">
        <v>18</v>
      </c>
      <c r="D120" s="2" t="s">
        <v>19</v>
      </c>
      <c r="E120" s="12">
        <v>62.2</v>
      </c>
      <c r="F120" s="4">
        <v>43850</v>
      </c>
      <c r="G120" s="5">
        <v>2020</v>
      </c>
      <c r="H120" s="3" t="s">
        <v>58</v>
      </c>
      <c r="I120" s="5">
        <v>2015</v>
      </c>
      <c r="J120" s="12">
        <v>396.7</v>
      </c>
      <c r="K120" s="13">
        <v>833</v>
      </c>
    </row>
    <row r="121" spans="1:11" x14ac:dyDescent="0.25">
      <c r="A121" s="6" t="s">
        <v>171</v>
      </c>
      <c r="B121" s="6" t="s">
        <v>17</v>
      </c>
      <c r="C121" s="6" t="s">
        <v>18</v>
      </c>
      <c r="D121" s="6" t="s">
        <v>26</v>
      </c>
      <c r="E121" s="14">
        <v>22.3</v>
      </c>
      <c r="F121" s="8">
        <v>43851</v>
      </c>
      <c r="G121" s="9">
        <v>2020</v>
      </c>
      <c r="H121" s="7" t="s">
        <v>20</v>
      </c>
      <c r="I121" s="9">
        <v>2017</v>
      </c>
      <c r="J121" s="14">
        <v>136.5</v>
      </c>
      <c r="K121" s="15">
        <v>515</v>
      </c>
    </row>
    <row r="122" spans="1:11" x14ac:dyDescent="0.25">
      <c r="A122" s="2" t="s">
        <v>172</v>
      </c>
      <c r="B122" s="2" t="s">
        <v>47</v>
      </c>
      <c r="C122" s="2" t="s">
        <v>34</v>
      </c>
      <c r="D122" s="2" t="s">
        <v>14</v>
      </c>
      <c r="E122" s="12">
        <v>8.3000000000000007</v>
      </c>
      <c r="F122" s="4">
        <v>43851</v>
      </c>
      <c r="G122" s="5">
        <v>2020</v>
      </c>
      <c r="H122" s="3" t="s">
        <v>37</v>
      </c>
      <c r="I122" s="5">
        <v>2012</v>
      </c>
      <c r="J122" s="12">
        <v>36.700000000000003</v>
      </c>
      <c r="K122" s="13">
        <v>134</v>
      </c>
    </row>
    <row r="123" spans="1:11" x14ac:dyDescent="0.25">
      <c r="A123" s="6" t="s">
        <v>173</v>
      </c>
      <c r="B123" s="6" t="s">
        <v>33</v>
      </c>
      <c r="C123" s="6" t="s">
        <v>34</v>
      </c>
      <c r="D123" s="6" t="s">
        <v>14</v>
      </c>
      <c r="E123" s="14">
        <v>14.1</v>
      </c>
      <c r="F123" s="8">
        <v>43863</v>
      </c>
      <c r="G123" s="9">
        <v>2020</v>
      </c>
      <c r="H123" s="7" t="s">
        <v>55</v>
      </c>
      <c r="I123" s="9">
        <v>2018</v>
      </c>
      <c r="J123" s="14">
        <v>102.8</v>
      </c>
      <c r="K123" s="15">
        <v>315</v>
      </c>
    </row>
    <row r="124" spans="1:11" x14ac:dyDescent="0.25">
      <c r="A124" s="2" t="s">
        <v>174</v>
      </c>
      <c r="B124" s="2" t="s">
        <v>29</v>
      </c>
      <c r="C124" s="2" t="s">
        <v>48</v>
      </c>
      <c r="D124" s="2" t="s">
        <v>31</v>
      </c>
      <c r="E124" s="12">
        <v>0.6</v>
      </c>
      <c r="F124" s="4">
        <v>43864</v>
      </c>
      <c r="G124" s="5">
        <v>2020</v>
      </c>
      <c r="H124" s="3" t="s">
        <v>37</v>
      </c>
      <c r="I124" s="5">
        <v>2020</v>
      </c>
      <c r="J124" s="12">
        <v>5.2</v>
      </c>
      <c r="K124" s="13">
        <v>8</v>
      </c>
    </row>
    <row r="125" spans="1:11" x14ac:dyDescent="0.25">
      <c r="A125" s="6" t="s">
        <v>175</v>
      </c>
      <c r="B125" s="6" t="s">
        <v>76</v>
      </c>
      <c r="C125" s="6" t="s">
        <v>63</v>
      </c>
      <c r="D125" s="6" t="s">
        <v>31</v>
      </c>
      <c r="E125" s="14">
        <v>3.5</v>
      </c>
      <c r="F125" s="8">
        <v>43866</v>
      </c>
      <c r="G125" s="9">
        <v>2020</v>
      </c>
      <c r="H125" s="7" t="s">
        <v>123</v>
      </c>
      <c r="I125" s="9">
        <v>2014</v>
      </c>
      <c r="J125" s="14">
        <v>20.2</v>
      </c>
      <c r="K125" s="15">
        <v>43</v>
      </c>
    </row>
    <row r="126" spans="1:11" x14ac:dyDescent="0.25">
      <c r="A126" s="2" t="s">
        <v>176</v>
      </c>
      <c r="B126" s="2" t="s">
        <v>33</v>
      </c>
      <c r="C126" s="2" t="s">
        <v>18</v>
      </c>
      <c r="D126" s="2" t="s">
        <v>14</v>
      </c>
      <c r="E126" s="12">
        <v>14.7</v>
      </c>
      <c r="F126" s="4">
        <v>43866</v>
      </c>
      <c r="G126" s="5">
        <v>2020</v>
      </c>
      <c r="H126" s="3" t="s">
        <v>45</v>
      </c>
      <c r="I126" s="5">
        <v>2012</v>
      </c>
      <c r="J126" s="12">
        <v>105.7</v>
      </c>
      <c r="K126" s="13">
        <v>191</v>
      </c>
    </row>
    <row r="127" spans="1:11" x14ac:dyDescent="0.25">
      <c r="A127" s="6" t="s">
        <v>177</v>
      </c>
      <c r="B127" s="6" t="s">
        <v>104</v>
      </c>
      <c r="C127" s="6" t="s">
        <v>48</v>
      </c>
      <c r="D127" s="6" t="s">
        <v>14</v>
      </c>
      <c r="E127" s="14">
        <v>9.4</v>
      </c>
      <c r="F127" s="8">
        <v>43870</v>
      </c>
      <c r="G127" s="9">
        <v>2020</v>
      </c>
      <c r="H127" s="7" t="s">
        <v>65</v>
      </c>
      <c r="I127" s="9">
        <v>2018</v>
      </c>
      <c r="J127" s="14">
        <v>57.5</v>
      </c>
      <c r="K127" s="15">
        <v>88</v>
      </c>
    </row>
    <row r="128" spans="1:11" x14ac:dyDescent="0.25">
      <c r="A128" s="2" t="s">
        <v>178</v>
      </c>
      <c r="B128" s="2" t="s">
        <v>33</v>
      </c>
      <c r="C128" s="2" t="s">
        <v>34</v>
      </c>
      <c r="D128" s="2" t="s">
        <v>26</v>
      </c>
      <c r="E128" s="12">
        <v>25.5</v>
      </c>
      <c r="F128" s="4">
        <v>43880</v>
      </c>
      <c r="G128" s="5">
        <v>2020</v>
      </c>
      <c r="H128" s="3" t="s">
        <v>53</v>
      </c>
      <c r="I128" s="5">
        <v>2012</v>
      </c>
      <c r="J128" s="12">
        <v>185.5</v>
      </c>
      <c r="K128" s="13">
        <v>681</v>
      </c>
    </row>
    <row r="129" spans="1:11" x14ac:dyDescent="0.25">
      <c r="A129" s="6" t="s">
        <v>179</v>
      </c>
      <c r="B129" s="6" t="s">
        <v>29</v>
      </c>
      <c r="C129" s="6" t="s">
        <v>25</v>
      </c>
      <c r="D129" s="6" t="s">
        <v>14</v>
      </c>
      <c r="E129" s="14">
        <v>9.8000000000000007</v>
      </c>
      <c r="F129" s="8">
        <v>43880</v>
      </c>
      <c r="G129" s="9">
        <v>2020</v>
      </c>
      <c r="H129" s="7" t="s">
        <v>65</v>
      </c>
      <c r="I129" s="9">
        <v>2017</v>
      </c>
      <c r="J129" s="14">
        <v>73.2</v>
      </c>
      <c r="K129" s="15">
        <v>174</v>
      </c>
    </row>
    <row r="130" spans="1:11" x14ac:dyDescent="0.25">
      <c r="A130" s="2" t="s">
        <v>180</v>
      </c>
      <c r="B130" s="2" t="s">
        <v>22</v>
      </c>
      <c r="C130" s="2" t="s">
        <v>13</v>
      </c>
      <c r="D130" s="2" t="s">
        <v>31</v>
      </c>
      <c r="E130" s="12">
        <v>3.8</v>
      </c>
      <c r="F130" s="4">
        <v>43882</v>
      </c>
      <c r="G130" s="5">
        <v>2020</v>
      </c>
      <c r="H130" s="3" t="s">
        <v>23</v>
      </c>
      <c r="I130" s="5">
        <v>2014</v>
      </c>
      <c r="J130" s="12">
        <v>35.700000000000003</v>
      </c>
      <c r="K130" s="13">
        <v>62</v>
      </c>
    </row>
    <row r="131" spans="1:11" x14ac:dyDescent="0.25">
      <c r="A131" s="6" t="s">
        <v>181</v>
      </c>
      <c r="B131" s="6" t="s">
        <v>104</v>
      </c>
      <c r="C131" s="6" t="s">
        <v>18</v>
      </c>
      <c r="D131" s="6" t="s">
        <v>31</v>
      </c>
      <c r="E131" s="14">
        <v>2.7</v>
      </c>
      <c r="F131" s="8">
        <v>43884</v>
      </c>
      <c r="G131" s="9">
        <v>2020</v>
      </c>
      <c r="H131" s="7" t="s">
        <v>53</v>
      </c>
      <c r="I131" s="9">
        <v>2016</v>
      </c>
      <c r="J131" s="14">
        <v>22.2</v>
      </c>
      <c r="K131" s="15">
        <v>51</v>
      </c>
    </row>
    <row r="132" spans="1:11" x14ac:dyDescent="0.25">
      <c r="A132" s="2" t="s">
        <v>182</v>
      </c>
      <c r="B132" s="2" t="s">
        <v>33</v>
      </c>
      <c r="C132" s="2" t="s">
        <v>13</v>
      </c>
      <c r="D132" s="2" t="s">
        <v>14</v>
      </c>
      <c r="E132" s="12">
        <v>10.9</v>
      </c>
      <c r="F132" s="4">
        <v>43888</v>
      </c>
      <c r="G132" s="5">
        <v>2020</v>
      </c>
      <c r="H132" s="3" t="s">
        <v>27</v>
      </c>
      <c r="I132" s="5">
        <v>2015</v>
      </c>
      <c r="J132" s="12">
        <v>62.8</v>
      </c>
      <c r="K132" s="13">
        <v>214</v>
      </c>
    </row>
    <row r="133" spans="1:11" x14ac:dyDescent="0.25">
      <c r="A133" s="6" t="s">
        <v>183</v>
      </c>
      <c r="B133" s="6" t="s">
        <v>12</v>
      </c>
      <c r="C133" s="6" t="s">
        <v>63</v>
      </c>
      <c r="D133" s="6" t="s">
        <v>14</v>
      </c>
      <c r="E133" s="14">
        <v>13.3</v>
      </c>
      <c r="F133" s="8">
        <v>43893</v>
      </c>
      <c r="G133" s="9">
        <v>2020</v>
      </c>
      <c r="H133" s="7" t="s">
        <v>27</v>
      </c>
      <c r="I133" s="9">
        <v>2020</v>
      </c>
      <c r="J133" s="14">
        <v>49.1</v>
      </c>
      <c r="K133" s="15">
        <v>188</v>
      </c>
    </row>
    <row r="134" spans="1:11" x14ac:dyDescent="0.25">
      <c r="A134" s="2" t="s">
        <v>184</v>
      </c>
      <c r="B134" s="2" t="s">
        <v>42</v>
      </c>
      <c r="C134" s="2" t="s">
        <v>18</v>
      </c>
      <c r="D134" s="2" t="s">
        <v>26</v>
      </c>
      <c r="E134" s="12">
        <v>44.7</v>
      </c>
      <c r="F134" s="4">
        <v>43897</v>
      </c>
      <c r="G134" s="5">
        <v>2020</v>
      </c>
      <c r="H134" s="3" t="s">
        <v>43</v>
      </c>
      <c r="I134" s="5">
        <v>2012</v>
      </c>
      <c r="J134" s="12">
        <v>305.2</v>
      </c>
      <c r="K134" s="13">
        <v>985</v>
      </c>
    </row>
    <row r="135" spans="1:11" x14ac:dyDescent="0.25">
      <c r="A135" s="6" t="s">
        <v>185</v>
      </c>
      <c r="B135" s="6" t="s">
        <v>22</v>
      </c>
      <c r="C135" s="6" t="s">
        <v>18</v>
      </c>
      <c r="D135" s="6" t="s">
        <v>31</v>
      </c>
      <c r="E135" s="14">
        <v>2.5</v>
      </c>
      <c r="F135" s="8">
        <v>43901</v>
      </c>
      <c r="G135" s="9">
        <v>2020</v>
      </c>
      <c r="H135" s="7" t="s">
        <v>37</v>
      </c>
      <c r="I135" s="9">
        <v>2020</v>
      </c>
      <c r="J135" s="14">
        <v>15.3</v>
      </c>
      <c r="K135" s="15">
        <v>31</v>
      </c>
    </row>
    <row r="136" spans="1:11" x14ac:dyDescent="0.25">
      <c r="A136" s="2" t="s">
        <v>186</v>
      </c>
      <c r="B136" s="2" t="s">
        <v>22</v>
      </c>
      <c r="C136" s="2" t="s">
        <v>25</v>
      </c>
      <c r="D136" s="2" t="s">
        <v>19</v>
      </c>
      <c r="E136" s="12">
        <v>121.7</v>
      </c>
      <c r="F136" s="4">
        <v>43904</v>
      </c>
      <c r="G136" s="5">
        <v>2020</v>
      </c>
      <c r="H136" s="3" t="s">
        <v>65</v>
      </c>
      <c r="I136" s="5">
        <v>2013</v>
      </c>
      <c r="J136" s="12">
        <v>595.6</v>
      </c>
      <c r="K136" s="13">
        <v>1534</v>
      </c>
    </row>
    <row r="137" spans="1:11" x14ac:dyDescent="0.25">
      <c r="A137" s="6" t="s">
        <v>187</v>
      </c>
      <c r="B137" s="6" t="s">
        <v>42</v>
      </c>
      <c r="C137" s="6" t="s">
        <v>18</v>
      </c>
      <c r="D137" s="6" t="s">
        <v>19</v>
      </c>
      <c r="E137" s="14">
        <v>116.4</v>
      </c>
      <c r="F137" s="8">
        <v>43904</v>
      </c>
      <c r="G137" s="9">
        <v>2020</v>
      </c>
      <c r="H137" s="7" t="s">
        <v>45</v>
      </c>
      <c r="I137" s="9">
        <v>2020</v>
      </c>
      <c r="J137" s="14">
        <v>701.9</v>
      </c>
      <c r="K137" s="15">
        <v>1487</v>
      </c>
    </row>
    <row r="138" spans="1:11" x14ac:dyDescent="0.25">
      <c r="A138" s="2" t="s">
        <v>188</v>
      </c>
      <c r="B138" s="2" t="s">
        <v>42</v>
      </c>
      <c r="C138" s="2" t="s">
        <v>34</v>
      </c>
      <c r="D138" s="2" t="s">
        <v>14</v>
      </c>
      <c r="E138" s="12">
        <v>11.8</v>
      </c>
      <c r="F138" s="4">
        <v>43907</v>
      </c>
      <c r="G138" s="5">
        <v>2020</v>
      </c>
      <c r="H138" s="3" t="s">
        <v>45</v>
      </c>
      <c r="I138" s="5">
        <v>2019</v>
      </c>
      <c r="J138" s="12">
        <v>91</v>
      </c>
      <c r="K138" s="13">
        <v>295</v>
      </c>
    </row>
    <row r="139" spans="1:11" x14ac:dyDescent="0.25">
      <c r="A139" s="6" t="s">
        <v>189</v>
      </c>
      <c r="B139" s="6" t="s">
        <v>42</v>
      </c>
      <c r="C139" s="6" t="s">
        <v>13</v>
      </c>
      <c r="D139" s="6" t="s">
        <v>31</v>
      </c>
      <c r="E139" s="14">
        <v>3.1</v>
      </c>
      <c r="F139" s="8">
        <v>43915</v>
      </c>
      <c r="G139" s="9">
        <v>2020</v>
      </c>
      <c r="H139" s="7" t="s">
        <v>15</v>
      </c>
      <c r="I139" s="9">
        <v>2016</v>
      </c>
      <c r="J139" s="14">
        <v>26.6</v>
      </c>
      <c r="K139" s="15">
        <v>88</v>
      </c>
    </row>
    <row r="140" spans="1:11" x14ac:dyDescent="0.25">
      <c r="A140" s="2" t="s">
        <v>190</v>
      </c>
      <c r="B140" s="2" t="s">
        <v>42</v>
      </c>
      <c r="C140" s="2" t="s">
        <v>30</v>
      </c>
      <c r="D140" s="2" t="s">
        <v>31</v>
      </c>
      <c r="E140" s="12">
        <v>3.5</v>
      </c>
      <c r="F140" s="4">
        <v>43920</v>
      </c>
      <c r="G140" s="5">
        <v>2020</v>
      </c>
      <c r="H140" s="3" t="s">
        <v>65</v>
      </c>
      <c r="I140" s="5">
        <v>2018</v>
      </c>
      <c r="J140" s="12">
        <v>30.8</v>
      </c>
      <c r="K140" s="13">
        <v>99</v>
      </c>
    </row>
    <row r="141" spans="1:11" x14ac:dyDescent="0.25">
      <c r="A141" s="6" t="s">
        <v>191</v>
      </c>
      <c r="B141" s="6" t="s">
        <v>76</v>
      </c>
      <c r="C141" s="6" t="s">
        <v>71</v>
      </c>
      <c r="D141" s="6" t="s">
        <v>26</v>
      </c>
      <c r="E141" s="14">
        <v>35.5</v>
      </c>
      <c r="F141" s="8">
        <v>43925</v>
      </c>
      <c r="G141" s="9">
        <v>2020</v>
      </c>
      <c r="H141" s="7" t="s">
        <v>58</v>
      </c>
      <c r="I141" s="9">
        <v>2013</v>
      </c>
      <c r="J141" s="14">
        <v>135.5</v>
      </c>
      <c r="K141" s="15">
        <v>380</v>
      </c>
    </row>
    <row r="142" spans="1:11" x14ac:dyDescent="0.25">
      <c r="A142" s="2" t="s">
        <v>192</v>
      </c>
      <c r="B142" s="2" t="s">
        <v>29</v>
      </c>
      <c r="C142" s="2" t="s">
        <v>13</v>
      </c>
      <c r="D142" s="2" t="s">
        <v>31</v>
      </c>
      <c r="E142" s="12">
        <v>1.1000000000000001</v>
      </c>
      <c r="F142" s="4">
        <v>43925</v>
      </c>
      <c r="G142" s="5">
        <v>2020</v>
      </c>
      <c r="H142" s="3" t="s">
        <v>65</v>
      </c>
      <c r="I142" s="5">
        <v>2015</v>
      </c>
      <c r="J142" s="12">
        <v>9.6999999999999993</v>
      </c>
      <c r="K142" s="13">
        <v>20</v>
      </c>
    </row>
    <row r="143" spans="1:11" x14ac:dyDescent="0.25">
      <c r="A143" s="6" t="s">
        <v>193</v>
      </c>
      <c r="B143" s="6" t="s">
        <v>76</v>
      </c>
      <c r="C143" s="6" t="s">
        <v>63</v>
      </c>
      <c r="D143" s="6" t="s">
        <v>31</v>
      </c>
      <c r="E143" s="14">
        <v>2.7</v>
      </c>
      <c r="F143" s="8">
        <v>43928</v>
      </c>
      <c r="G143" s="9">
        <v>2020</v>
      </c>
      <c r="H143" s="7" t="s">
        <v>20</v>
      </c>
      <c r="I143" s="9">
        <v>2020</v>
      </c>
      <c r="J143" s="14">
        <v>24.6</v>
      </c>
      <c r="K143" s="15">
        <v>71</v>
      </c>
    </row>
    <row r="144" spans="1:11" x14ac:dyDescent="0.25">
      <c r="A144" s="2" t="s">
        <v>194</v>
      </c>
      <c r="B144" s="2" t="s">
        <v>22</v>
      </c>
      <c r="C144" s="2" t="s">
        <v>71</v>
      </c>
      <c r="D144" s="2" t="s">
        <v>31</v>
      </c>
      <c r="E144" s="12">
        <v>2.6</v>
      </c>
      <c r="F144" s="4">
        <v>43928</v>
      </c>
      <c r="G144" s="5">
        <v>2020</v>
      </c>
      <c r="H144" s="3" t="s">
        <v>23</v>
      </c>
      <c r="I144" s="5">
        <v>2017</v>
      </c>
      <c r="J144" s="12">
        <v>14.3</v>
      </c>
      <c r="K144" s="13">
        <v>29</v>
      </c>
    </row>
    <row r="145" spans="1:11" x14ac:dyDescent="0.25">
      <c r="A145" s="6" t="s">
        <v>195</v>
      </c>
      <c r="B145" s="6" t="s">
        <v>76</v>
      </c>
      <c r="C145" s="6" t="s">
        <v>18</v>
      </c>
      <c r="D145" s="6" t="s">
        <v>14</v>
      </c>
      <c r="E145" s="14">
        <v>11.8</v>
      </c>
      <c r="F145" s="8">
        <v>43929</v>
      </c>
      <c r="G145" s="9">
        <v>2020</v>
      </c>
      <c r="H145" s="7" t="s">
        <v>60</v>
      </c>
      <c r="I145" s="9">
        <v>2013</v>
      </c>
      <c r="J145" s="14">
        <v>90.8</v>
      </c>
      <c r="K145" s="15">
        <v>210</v>
      </c>
    </row>
    <row r="146" spans="1:11" x14ac:dyDescent="0.25">
      <c r="A146" s="2" t="s">
        <v>196</v>
      </c>
      <c r="B146" s="2" t="s">
        <v>22</v>
      </c>
      <c r="C146" s="2" t="s">
        <v>30</v>
      </c>
      <c r="D146" s="2" t="s">
        <v>19</v>
      </c>
      <c r="E146" s="12">
        <v>88.4</v>
      </c>
      <c r="F146" s="4">
        <v>43930</v>
      </c>
      <c r="G146" s="5">
        <v>2020</v>
      </c>
      <c r="H146" s="3" t="s">
        <v>53</v>
      </c>
      <c r="I146" s="5">
        <v>2012</v>
      </c>
      <c r="J146" s="12">
        <v>382.2</v>
      </c>
      <c r="K146" s="13">
        <v>1114</v>
      </c>
    </row>
    <row r="147" spans="1:11" x14ac:dyDescent="0.25">
      <c r="A147" s="6" t="s">
        <v>197</v>
      </c>
      <c r="B147" s="6" t="s">
        <v>33</v>
      </c>
      <c r="C147" s="6" t="s">
        <v>18</v>
      </c>
      <c r="D147" s="6" t="s">
        <v>19</v>
      </c>
      <c r="E147" s="14">
        <v>51.6</v>
      </c>
      <c r="F147" s="8">
        <v>43935</v>
      </c>
      <c r="G147" s="9">
        <v>2020</v>
      </c>
      <c r="H147" s="7" t="s">
        <v>50</v>
      </c>
      <c r="I147" s="9">
        <v>2017</v>
      </c>
      <c r="J147" s="14">
        <v>263.5</v>
      </c>
      <c r="K147" s="15">
        <v>886</v>
      </c>
    </row>
    <row r="148" spans="1:11" x14ac:dyDescent="0.25">
      <c r="A148" s="2" t="s">
        <v>198</v>
      </c>
      <c r="B148" s="2" t="s">
        <v>100</v>
      </c>
      <c r="C148" s="2" t="s">
        <v>34</v>
      </c>
      <c r="D148" s="2" t="s">
        <v>19</v>
      </c>
      <c r="E148" s="12">
        <v>57.7</v>
      </c>
      <c r="F148" s="4">
        <v>43937</v>
      </c>
      <c r="G148" s="5">
        <v>2020</v>
      </c>
      <c r="H148" s="3" t="s">
        <v>65</v>
      </c>
      <c r="I148" s="5">
        <v>2020</v>
      </c>
      <c r="J148" s="12">
        <v>257.5</v>
      </c>
      <c r="K148" s="13">
        <v>938</v>
      </c>
    </row>
    <row r="149" spans="1:11" x14ac:dyDescent="0.25">
      <c r="A149" s="6" t="s">
        <v>199</v>
      </c>
      <c r="B149" s="6" t="s">
        <v>33</v>
      </c>
      <c r="C149" s="6" t="s">
        <v>18</v>
      </c>
      <c r="D149" s="6" t="s">
        <v>31</v>
      </c>
      <c r="E149" s="14">
        <v>1.9</v>
      </c>
      <c r="F149" s="8">
        <v>43947</v>
      </c>
      <c r="G149" s="9">
        <v>2020</v>
      </c>
      <c r="H149" s="7" t="s">
        <v>65</v>
      </c>
      <c r="I149" s="9">
        <v>2017</v>
      </c>
      <c r="J149" s="14">
        <v>12.8</v>
      </c>
      <c r="K149" s="15">
        <v>24</v>
      </c>
    </row>
    <row r="150" spans="1:11" x14ac:dyDescent="0.25">
      <c r="A150" s="2" t="s">
        <v>200</v>
      </c>
      <c r="B150" s="2" t="s">
        <v>29</v>
      </c>
      <c r="C150" s="2" t="s">
        <v>63</v>
      </c>
      <c r="D150" s="2" t="s">
        <v>31</v>
      </c>
      <c r="E150" s="12">
        <v>4.0999999999999996</v>
      </c>
      <c r="F150" s="4">
        <v>43947</v>
      </c>
      <c r="G150" s="5">
        <v>2020</v>
      </c>
      <c r="H150" s="3" t="s">
        <v>20</v>
      </c>
      <c r="I150" s="5">
        <v>2016</v>
      </c>
      <c r="J150" s="12">
        <v>30.7</v>
      </c>
      <c r="K150" s="13">
        <v>57</v>
      </c>
    </row>
    <row r="151" spans="1:11" x14ac:dyDescent="0.25">
      <c r="A151" s="6" t="s">
        <v>201</v>
      </c>
      <c r="B151" s="6" t="s">
        <v>22</v>
      </c>
      <c r="C151" s="6" t="s">
        <v>13</v>
      </c>
      <c r="D151" s="6" t="s">
        <v>14</v>
      </c>
      <c r="E151" s="14">
        <v>11.2</v>
      </c>
      <c r="F151" s="8">
        <v>43958</v>
      </c>
      <c r="G151" s="9">
        <v>2020</v>
      </c>
      <c r="H151" s="7" t="s">
        <v>123</v>
      </c>
      <c r="I151" s="9">
        <v>2018</v>
      </c>
      <c r="J151" s="14">
        <v>44.5</v>
      </c>
      <c r="K151" s="15">
        <v>72</v>
      </c>
    </row>
    <row r="152" spans="1:11" x14ac:dyDescent="0.25">
      <c r="A152" s="2" t="s">
        <v>202</v>
      </c>
      <c r="B152" s="2" t="s">
        <v>104</v>
      </c>
      <c r="C152" s="2" t="s">
        <v>25</v>
      </c>
      <c r="D152" s="2" t="s">
        <v>14</v>
      </c>
      <c r="E152" s="12">
        <v>11.2</v>
      </c>
      <c r="F152" s="4">
        <v>43960</v>
      </c>
      <c r="G152" s="5">
        <v>2020</v>
      </c>
      <c r="H152" s="3" t="s">
        <v>20</v>
      </c>
      <c r="I152" s="5">
        <v>2016</v>
      </c>
      <c r="J152" s="12">
        <v>39.9</v>
      </c>
      <c r="K152" s="13">
        <v>69</v>
      </c>
    </row>
    <row r="153" spans="1:11" x14ac:dyDescent="0.25">
      <c r="A153" s="6" t="s">
        <v>203</v>
      </c>
      <c r="B153" s="6" t="s">
        <v>47</v>
      </c>
      <c r="C153" s="6" t="s">
        <v>18</v>
      </c>
      <c r="D153" s="6" t="s">
        <v>14</v>
      </c>
      <c r="E153" s="14">
        <v>13.8</v>
      </c>
      <c r="F153" s="8">
        <v>43962</v>
      </c>
      <c r="G153" s="9">
        <v>2020</v>
      </c>
      <c r="H153" s="7" t="s">
        <v>15</v>
      </c>
      <c r="I153" s="9">
        <v>2016</v>
      </c>
      <c r="J153" s="14">
        <v>66.5</v>
      </c>
      <c r="K153" s="15">
        <v>193</v>
      </c>
    </row>
    <row r="154" spans="1:11" x14ac:dyDescent="0.25">
      <c r="A154" s="2" t="s">
        <v>204</v>
      </c>
      <c r="B154" s="2" t="s">
        <v>17</v>
      </c>
      <c r="C154" s="2" t="s">
        <v>34</v>
      </c>
      <c r="D154" s="2" t="s">
        <v>19</v>
      </c>
      <c r="E154" s="12">
        <v>64.8</v>
      </c>
      <c r="F154" s="4">
        <v>43962</v>
      </c>
      <c r="G154" s="5">
        <v>2020</v>
      </c>
      <c r="H154" s="3" t="s">
        <v>58</v>
      </c>
      <c r="I154" s="5">
        <v>2019</v>
      </c>
      <c r="J154" s="12">
        <v>370.8</v>
      </c>
      <c r="K154" s="13">
        <v>1106</v>
      </c>
    </row>
    <row r="155" spans="1:11" x14ac:dyDescent="0.25">
      <c r="A155" s="6" t="s">
        <v>205</v>
      </c>
      <c r="B155" s="6" t="s">
        <v>33</v>
      </c>
      <c r="C155" s="6" t="s">
        <v>13</v>
      </c>
      <c r="D155" s="6" t="s">
        <v>14</v>
      </c>
      <c r="E155" s="14">
        <v>6</v>
      </c>
      <c r="F155" s="8">
        <v>43963</v>
      </c>
      <c r="G155" s="9">
        <v>2020</v>
      </c>
      <c r="H155" s="7" t="s">
        <v>23</v>
      </c>
      <c r="I155" s="9">
        <v>2018</v>
      </c>
      <c r="J155" s="14">
        <v>44.9</v>
      </c>
      <c r="K155" s="15">
        <v>128</v>
      </c>
    </row>
    <row r="156" spans="1:11" x14ac:dyDescent="0.25">
      <c r="A156" s="2" t="s">
        <v>206</v>
      </c>
      <c r="B156" s="2" t="s">
        <v>17</v>
      </c>
      <c r="C156" s="2" t="s">
        <v>34</v>
      </c>
      <c r="D156" s="2" t="s">
        <v>35</v>
      </c>
      <c r="E156" s="12">
        <v>294</v>
      </c>
      <c r="F156" s="4">
        <v>43964</v>
      </c>
      <c r="G156" s="5">
        <v>2020</v>
      </c>
      <c r="H156" s="3" t="s">
        <v>20</v>
      </c>
      <c r="I156" s="5">
        <v>2020</v>
      </c>
      <c r="J156" s="12">
        <v>1465.9</v>
      </c>
      <c r="K156" s="13">
        <v>3066</v>
      </c>
    </row>
    <row r="157" spans="1:11" x14ac:dyDescent="0.25">
      <c r="A157" s="6" t="s">
        <v>207</v>
      </c>
      <c r="B157" s="6" t="s">
        <v>104</v>
      </c>
      <c r="C157" s="6" t="s">
        <v>13</v>
      </c>
      <c r="D157" s="6" t="s">
        <v>26</v>
      </c>
      <c r="E157" s="14">
        <v>33.799999999999997</v>
      </c>
      <c r="F157" s="8">
        <v>43965</v>
      </c>
      <c r="G157" s="9">
        <v>2020</v>
      </c>
      <c r="H157" s="7" t="s">
        <v>60</v>
      </c>
      <c r="I157" s="9">
        <v>2019</v>
      </c>
      <c r="J157" s="14">
        <v>142.80000000000001</v>
      </c>
      <c r="K157" s="15">
        <v>403</v>
      </c>
    </row>
    <row r="158" spans="1:11" x14ac:dyDescent="0.25">
      <c r="A158" s="2" t="s">
        <v>208</v>
      </c>
      <c r="B158" s="2" t="s">
        <v>12</v>
      </c>
      <c r="C158" s="2" t="s">
        <v>13</v>
      </c>
      <c r="D158" s="2" t="s">
        <v>26</v>
      </c>
      <c r="E158" s="12">
        <v>18.399999999999999</v>
      </c>
      <c r="F158" s="4">
        <v>43966</v>
      </c>
      <c r="G158" s="5">
        <v>2020</v>
      </c>
      <c r="H158" s="3" t="s">
        <v>55</v>
      </c>
      <c r="I158" s="5">
        <v>2015</v>
      </c>
      <c r="J158" s="12">
        <v>146.9</v>
      </c>
      <c r="K158" s="13">
        <v>565</v>
      </c>
    </row>
    <row r="159" spans="1:11" x14ac:dyDescent="0.25">
      <c r="A159" s="6" t="s">
        <v>209</v>
      </c>
      <c r="B159" s="6" t="s">
        <v>47</v>
      </c>
      <c r="C159" s="6" t="s">
        <v>18</v>
      </c>
      <c r="D159" s="6" t="s">
        <v>14</v>
      </c>
      <c r="E159" s="14">
        <v>13.2</v>
      </c>
      <c r="F159" s="8">
        <v>43966</v>
      </c>
      <c r="G159" s="9">
        <v>2020</v>
      </c>
      <c r="H159" s="7" t="s">
        <v>65</v>
      </c>
      <c r="I159" s="9">
        <v>2015</v>
      </c>
      <c r="J159" s="14">
        <v>86.1</v>
      </c>
      <c r="K159" s="15">
        <v>340</v>
      </c>
    </row>
    <row r="160" spans="1:11" x14ac:dyDescent="0.25">
      <c r="A160" s="2" t="s">
        <v>210</v>
      </c>
      <c r="B160" s="2" t="s">
        <v>76</v>
      </c>
      <c r="C160" s="2" t="s">
        <v>18</v>
      </c>
      <c r="D160" s="2" t="s">
        <v>35</v>
      </c>
      <c r="E160" s="12">
        <v>164.2</v>
      </c>
      <c r="F160" s="4">
        <v>43970</v>
      </c>
      <c r="G160" s="5">
        <v>2020</v>
      </c>
      <c r="H160" s="3" t="s">
        <v>27</v>
      </c>
      <c r="I160" s="5">
        <v>2017</v>
      </c>
      <c r="J160" s="12">
        <v>1726.6</v>
      </c>
      <c r="K160" s="13">
        <v>6583</v>
      </c>
    </row>
    <row r="161" spans="1:11" x14ac:dyDescent="0.25">
      <c r="A161" s="6" t="s">
        <v>211</v>
      </c>
      <c r="B161" s="6" t="s">
        <v>29</v>
      </c>
      <c r="C161" s="6" t="s">
        <v>13</v>
      </c>
      <c r="D161" s="6" t="s">
        <v>19</v>
      </c>
      <c r="E161" s="14">
        <v>128.69999999999999</v>
      </c>
      <c r="F161" s="8">
        <v>43971</v>
      </c>
      <c r="G161" s="9">
        <v>2020</v>
      </c>
      <c r="H161" s="7" t="s">
        <v>23</v>
      </c>
      <c r="I161" s="9">
        <v>2020</v>
      </c>
      <c r="J161" s="14">
        <v>982.9</v>
      </c>
      <c r="K161" s="15">
        <v>3293</v>
      </c>
    </row>
    <row r="162" spans="1:11" x14ac:dyDescent="0.25">
      <c r="A162" s="2" t="s">
        <v>212</v>
      </c>
      <c r="B162" s="2" t="s">
        <v>42</v>
      </c>
      <c r="C162" s="2" t="s">
        <v>18</v>
      </c>
      <c r="D162" s="2" t="s">
        <v>31</v>
      </c>
      <c r="E162" s="12">
        <v>2.6</v>
      </c>
      <c r="F162" s="4">
        <v>43973</v>
      </c>
      <c r="G162" s="5">
        <v>2020</v>
      </c>
      <c r="H162" s="3" t="s">
        <v>37</v>
      </c>
      <c r="I162" s="5">
        <v>2015</v>
      </c>
      <c r="J162" s="12">
        <v>19.8</v>
      </c>
      <c r="K162" s="13">
        <v>58</v>
      </c>
    </row>
    <row r="163" spans="1:11" x14ac:dyDescent="0.25">
      <c r="A163" s="6" t="s">
        <v>213</v>
      </c>
      <c r="B163" s="6" t="s">
        <v>100</v>
      </c>
      <c r="C163" s="6" t="s">
        <v>18</v>
      </c>
      <c r="D163" s="6" t="s">
        <v>14</v>
      </c>
      <c r="E163" s="14">
        <v>15.3</v>
      </c>
      <c r="F163" s="8">
        <v>43974</v>
      </c>
      <c r="G163" s="9">
        <v>2020</v>
      </c>
      <c r="H163" s="7" t="s">
        <v>60</v>
      </c>
      <c r="I163" s="9">
        <v>2017</v>
      </c>
      <c r="J163" s="14">
        <v>92.1</v>
      </c>
      <c r="K163" s="15">
        <v>177</v>
      </c>
    </row>
    <row r="164" spans="1:11" x14ac:dyDescent="0.25">
      <c r="A164" s="2" t="s">
        <v>214</v>
      </c>
      <c r="B164" s="2" t="s">
        <v>12</v>
      </c>
      <c r="C164" s="2" t="s">
        <v>48</v>
      </c>
      <c r="D164" s="2" t="s">
        <v>14</v>
      </c>
      <c r="E164" s="12">
        <v>12.7</v>
      </c>
      <c r="F164" s="4">
        <v>43979</v>
      </c>
      <c r="G164" s="5">
        <v>2020</v>
      </c>
      <c r="H164" s="3" t="s">
        <v>45</v>
      </c>
      <c r="I164" s="5">
        <v>2014</v>
      </c>
      <c r="J164" s="12">
        <v>61.1</v>
      </c>
      <c r="K164" s="13">
        <v>223</v>
      </c>
    </row>
    <row r="165" spans="1:11" x14ac:dyDescent="0.25">
      <c r="A165" s="6" t="s">
        <v>215</v>
      </c>
      <c r="B165" s="6" t="s">
        <v>33</v>
      </c>
      <c r="C165" s="6" t="s">
        <v>63</v>
      </c>
      <c r="D165" s="6" t="s">
        <v>31</v>
      </c>
      <c r="E165" s="14">
        <v>2.4</v>
      </c>
      <c r="F165" s="8">
        <v>43980</v>
      </c>
      <c r="G165" s="9">
        <v>2020</v>
      </c>
      <c r="H165" s="7" t="s">
        <v>27</v>
      </c>
      <c r="I165" s="9">
        <v>2015</v>
      </c>
      <c r="J165" s="14">
        <v>16</v>
      </c>
      <c r="K165" s="15">
        <v>26</v>
      </c>
    </row>
    <row r="166" spans="1:11" x14ac:dyDescent="0.25">
      <c r="A166" s="2" t="s">
        <v>216</v>
      </c>
      <c r="B166" s="2" t="s">
        <v>29</v>
      </c>
      <c r="C166" s="2" t="s">
        <v>18</v>
      </c>
      <c r="D166" s="2" t="s">
        <v>35</v>
      </c>
      <c r="E166" s="12">
        <v>341.1</v>
      </c>
      <c r="F166" s="4">
        <v>43985</v>
      </c>
      <c r="G166" s="5">
        <v>2020</v>
      </c>
      <c r="H166" s="3" t="s">
        <v>37</v>
      </c>
      <c r="I166" s="5">
        <v>2020</v>
      </c>
      <c r="J166" s="12">
        <v>2948</v>
      </c>
      <c r="K166" s="13">
        <v>9501</v>
      </c>
    </row>
    <row r="167" spans="1:11" x14ac:dyDescent="0.25">
      <c r="A167" s="6" t="s">
        <v>217</v>
      </c>
      <c r="B167" s="6" t="s">
        <v>29</v>
      </c>
      <c r="C167" s="6" t="s">
        <v>13</v>
      </c>
      <c r="D167" s="6" t="s">
        <v>19</v>
      </c>
      <c r="E167" s="14">
        <v>54.7</v>
      </c>
      <c r="F167" s="8">
        <v>43985</v>
      </c>
      <c r="G167" s="9">
        <v>2020</v>
      </c>
      <c r="H167" s="7" t="s">
        <v>43</v>
      </c>
      <c r="I167" s="9">
        <v>2017</v>
      </c>
      <c r="J167" s="14">
        <v>257.60000000000002</v>
      </c>
      <c r="K167" s="15">
        <v>810</v>
      </c>
    </row>
    <row r="168" spans="1:11" x14ac:dyDescent="0.25">
      <c r="A168" s="2" t="s">
        <v>218</v>
      </c>
      <c r="B168" s="2" t="s">
        <v>22</v>
      </c>
      <c r="C168" s="2" t="s">
        <v>13</v>
      </c>
      <c r="D168" s="2" t="s">
        <v>14</v>
      </c>
      <c r="E168" s="12">
        <v>11</v>
      </c>
      <c r="F168" s="4">
        <v>43987</v>
      </c>
      <c r="G168" s="5">
        <v>2020</v>
      </c>
      <c r="H168" s="3" t="s">
        <v>45</v>
      </c>
      <c r="I168" s="5">
        <v>2012</v>
      </c>
      <c r="J168" s="12">
        <v>59.5</v>
      </c>
      <c r="K168" s="13">
        <v>202</v>
      </c>
    </row>
    <row r="169" spans="1:11" x14ac:dyDescent="0.25">
      <c r="A169" s="6" t="s">
        <v>219</v>
      </c>
      <c r="B169" s="6" t="s">
        <v>100</v>
      </c>
      <c r="C169" s="6" t="s">
        <v>48</v>
      </c>
      <c r="D169" s="6" t="s">
        <v>19</v>
      </c>
      <c r="E169" s="14">
        <v>71.7</v>
      </c>
      <c r="F169" s="8">
        <v>43990</v>
      </c>
      <c r="G169" s="9">
        <v>2020</v>
      </c>
      <c r="H169" s="7" t="s">
        <v>50</v>
      </c>
      <c r="I169" s="9">
        <v>2020</v>
      </c>
      <c r="J169" s="14">
        <v>307</v>
      </c>
      <c r="K169" s="15">
        <v>658</v>
      </c>
    </row>
    <row r="170" spans="1:11" x14ac:dyDescent="0.25">
      <c r="A170" s="2" t="s">
        <v>220</v>
      </c>
      <c r="B170" s="2" t="s">
        <v>42</v>
      </c>
      <c r="C170" s="2" t="s">
        <v>34</v>
      </c>
      <c r="D170" s="2" t="s">
        <v>35</v>
      </c>
      <c r="E170" s="12">
        <v>381.5</v>
      </c>
      <c r="F170" s="4">
        <v>43993</v>
      </c>
      <c r="G170" s="5">
        <v>2020</v>
      </c>
      <c r="H170" s="3" t="s">
        <v>50</v>
      </c>
      <c r="I170" s="5">
        <v>2020</v>
      </c>
      <c r="J170" s="12">
        <v>1923.1</v>
      </c>
      <c r="K170" s="13">
        <v>4950</v>
      </c>
    </row>
    <row r="171" spans="1:11" x14ac:dyDescent="0.25">
      <c r="A171" s="6" t="s">
        <v>221</v>
      </c>
      <c r="B171" s="6" t="s">
        <v>33</v>
      </c>
      <c r="C171" s="6" t="s">
        <v>13</v>
      </c>
      <c r="D171" s="6" t="s">
        <v>26</v>
      </c>
      <c r="E171" s="14">
        <v>19.899999999999999</v>
      </c>
      <c r="F171" s="8">
        <v>43994</v>
      </c>
      <c r="G171" s="9">
        <v>2020</v>
      </c>
      <c r="H171" s="7" t="s">
        <v>20</v>
      </c>
      <c r="I171" s="9">
        <v>2013</v>
      </c>
      <c r="J171" s="14">
        <v>111.4</v>
      </c>
      <c r="K171" s="15">
        <v>339</v>
      </c>
    </row>
    <row r="172" spans="1:11" x14ac:dyDescent="0.25">
      <c r="A172" s="2" t="s">
        <v>222</v>
      </c>
      <c r="B172" s="2" t="s">
        <v>42</v>
      </c>
      <c r="C172" s="2" t="s">
        <v>34</v>
      </c>
      <c r="D172" s="2" t="s">
        <v>14</v>
      </c>
      <c r="E172" s="12">
        <v>6.4</v>
      </c>
      <c r="F172" s="4">
        <v>43995</v>
      </c>
      <c r="G172" s="5">
        <v>2020</v>
      </c>
      <c r="H172" s="3" t="s">
        <v>23</v>
      </c>
      <c r="I172" s="5">
        <v>2015</v>
      </c>
      <c r="J172" s="12">
        <v>33.9</v>
      </c>
      <c r="K172" s="13">
        <v>128</v>
      </c>
    </row>
    <row r="173" spans="1:11" x14ac:dyDescent="0.25">
      <c r="A173" s="6" t="s">
        <v>223</v>
      </c>
      <c r="B173" s="6" t="s">
        <v>12</v>
      </c>
      <c r="C173" s="6" t="s">
        <v>63</v>
      </c>
      <c r="D173" s="6" t="s">
        <v>26</v>
      </c>
      <c r="E173" s="14">
        <v>40</v>
      </c>
      <c r="F173" s="8">
        <v>43995</v>
      </c>
      <c r="G173" s="9">
        <v>2020</v>
      </c>
      <c r="H173" s="7" t="s">
        <v>50</v>
      </c>
      <c r="I173" s="9">
        <v>2014</v>
      </c>
      <c r="J173" s="14">
        <v>196.4</v>
      </c>
      <c r="K173" s="15">
        <v>630</v>
      </c>
    </row>
    <row r="174" spans="1:11" x14ac:dyDescent="0.25">
      <c r="A174" s="2" t="s">
        <v>224</v>
      </c>
      <c r="B174" s="2" t="s">
        <v>29</v>
      </c>
      <c r="C174" s="2" t="s">
        <v>18</v>
      </c>
      <c r="D174" s="2" t="s">
        <v>26</v>
      </c>
      <c r="E174" s="12">
        <v>31.9</v>
      </c>
      <c r="F174" s="4">
        <v>44002</v>
      </c>
      <c r="G174" s="5">
        <v>2020</v>
      </c>
      <c r="H174" s="3" t="s">
        <v>20</v>
      </c>
      <c r="I174" s="5">
        <v>2016</v>
      </c>
      <c r="J174" s="12">
        <v>232.8</v>
      </c>
      <c r="K174" s="13">
        <v>546</v>
      </c>
    </row>
    <row r="175" spans="1:11" x14ac:dyDescent="0.25">
      <c r="A175" s="6" t="s">
        <v>225</v>
      </c>
      <c r="B175" s="6" t="s">
        <v>12</v>
      </c>
      <c r="C175" s="6" t="s">
        <v>18</v>
      </c>
      <c r="D175" s="6" t="s">
        <v>26</v>
      </c>
      <c r="E175" s="14">
        <v>21.6</v>
      </c>
      <c r="F175" s="8">
        <v>44003</v>
      </c>
      <c r="G175" s="9">
        <v>2020</v>
      </c>
      <c r="H175" s="7" t="s">
        <v>45</v>
      </c>
      <c r="I175" s="9">
        <v>2017</v>
      </c>
      <c r="J175" s="14">
        <v>137.5</v>
      </c>
      <c r="K175" s="15">
        <v>335</v>
      </c>
    </row>
    <row r="176" spans="1:11" x14ac:dyDescent="0.25">
      <c r="A176" s="2" t="s">
        <v>226</v>
      </c>
      <c r="B176" s="2" t="s">
        <v>33</v>
      </c>
      <c r="C176" s="2" t="s">
        <v>63</v>
      </c>
      <c r="D176" s="2" t="s">
        <v>31</v>
      </c>
      <c r="E176" s="12">
        <v>3.7</v>
      </c>
      <c r="F176" s="4">
        <v>44004</v>
      </c>
      <c r="G176" s="5">
        <v>2020</v>
      </c>
      <c r="H176" s="3" t="s">
        <v>45</v>
      </c>
      <c r="I176" s="5">
        <v>2020</v>
      </c>
      <c r="J176" s="12">
        <v>33</v>
      </c>
      <c r="K176" s="13">
        <v>84</v>
      </c>
    </row>
    <row r="177" spans="1:11" x14ac:dyDescent="0.25">
      <c r="A177" s="6" t="s">
        <v>227</v>
      </c>
      <c r="B177" s="6" t="s">
        <v>33</v>
      </c>
      <c r="C177" s="6" t="s">
        <v>18</v>
      </c>
      <c r="D177" s="6" t="s">
        <v>31</v>
      </c>
      <c r="E177" s="14">
        <v>2.7</v>
      </c>
      <c r="F177" s="8">
        <v>44005</v>
      </c>
      <c r="G177" s="9">
        <v>2020</v>
      </c>
      <c r="H177" s="7" t="s">
        <v>27</v>
      </c>
      <c r="I177" s="9">
        <v>2017</v>
      </c>
      <c r="J177" s="14">
        <v>16.3</v>
      </c>
      <c r="K177" s="15">
        <v>44</v>
      </c>
    </row>
    <row r="178" spans="1:11" x14ac:dyDescent="0.25">
      <c r="A178" s="2" t="s">
        <v>228</v>
      </c>
      <c r="B178" s="2" t="s">
        <v>17</v>
      </c>
      <c r="C178" s="2" t="s">
        <v>25</v>
      </c>
      <c r="D178" s="2" t="s">
        <v>14</v>
      </c>
      <c r="E178" s="12">
        <v>9.1</v>
      </c>
      <c r="F178" s="4">
        <v>44007</v>
      </c>
      <c r="G178" s="5">
        <v>2020</v>
      </c>
      <c r="H178" s="3" t="s">
        <v>27</v>
      </c>
      <c r="I178" s="5">
        <v>2016</v>
      </c>
      <c r="J178" s="12">
        <v>39.1</v>
      </c>
      <c r="K178" s="13">
        <v>94</v>
      </c>
    </row>
    <row r="179" spans="1:11" x14ac:dyDescent="0.25">
      <c r="A179" s="6" t="s">
        <v>229</v>
      </c>
      <c r="B179" s="6" t="s">
        <v>100</v>
      </c>
      <c r="C179" s="6" t="s">
        <v>13</v>
      </c>
      <c r="D179" s="6" t="s">
        <v>35</v>
      </c>
      <c r="E179" s="14">
        <v>161</v>
      </c>
      <c r="F179" s="8">
        <v>44013</v>
      </c>
      <c r="G179" s="9">
        <v>2020</v>
      </c>
      <c r="H179" s="7" t="s">
        <v>55</v>
      </c>
      <c r="I179" s="9">
        <v>2018</v>
      </c>
      <c r="J179" s="14">
        <v>1249.4000000000001</v>
      </c>
      <c r="K179" s="15">
        <v>4006</v>
      </c>
    </row>
    <row r="180" spans="1:11" x14ac:dyDescent="0.25">
      <c r="A180" s="2" t="s">
        <v>230</v>
      </c>
      <c r="B180" s="2" t="s">
        <v>67</v>
      </c>
      <c r="C180" s="2" t="s">
        <v>13</v>
      </c>
      <c r="D180" s="2" t="s">
        <v>31</v>
      </c>
      <c r="E180" s="12">
        <v>2.2000000000000002</v>
      </c>
      <c r="F180" s="4">
        <v>44013</v>
      </c>
      <c r="G180" s="5">
        <v>2020</v>
      </c>
      <c r="H180" s="3" t="s">
        <v>37</v>
      </c>
      <c r="I180" s="5">
        <v>2019</v>
      </c>
      <c r="J180" s="12">
        <v>9.5</v>
      </c>
      <c r="K180" s="13">
        <v>27</v>
      </c>
    </row>
    <row r="181" spans="1:11" x14ac:dyDescent="0.25">
      <c r="A181" s="6" t="s">
        <v>231</v>
      </c>
      <c r="B181" s="6" t="s">
        <v>47</v>
      </c>
      <c r="C181" s="6" t="s">
        <v>18</v>
      </c>
      <c r="D181" s="6" t="s">
        <v>19</v>
      </c>
      <c r="E181" s="14">
        <v>79</v>
      </c>
      <c r="F181" s="8">
        <v>44015</v>
      </c>
      <c r="G181" s="9">
        <v>2020</v>
      </c>
      <c r="H181" s="7" t="s">
        <v>43</v>
      </c>
      <c r="I181" s="9">
        <v>2018</v>
      </c>
      <c r="J181" s="14">
        <v>657.1</v>
      </c>
      <c r="K181" s="15">
        <v>1092</v>
      </c>
    </row>
    <row r="182" spans="1:11" x14ac:dyDescent="0.25">
      <c r="A182" s="2" t="s">
        <v>232</v>
      </c>
      <c r="B182" s="2" t="s">
        <v>29</v>
      </c>
      <c r="C182" s="2" t="s">
        <v>18</v>
      </c>
      <c r="D182" s="2" t="s">
        <v>14</v>
      </c>
      <c r="E182" s="12">
        <v>18.2</v>
      </c>
      <c r="F182" s="4">
        <v>44020</v>
      </c>
      <c r="G182" s="5">
        <v>2020</v>
      </c>
      <c r="H182" s="3" t="s">
        <v>23</v>
      </c>
      <c r="I182" s="5">
        <v>2017</v>
      </c>
      <c r="J182" s="12">
        <v>136.30000000000001</v>
      </c>
      <c r="K182" s="13">
        <v>223</v>
      </c>
    </row>
    <row r="183" spans="1:11" x14ac:dyDescent="0.25">
      <c r="A183" s="6" t="s">
        <v>233</v>
      </c>
      <c r="B183" s="6" t="s">
        <v>29</v>
      </c>
      <c r="C183" s="6" t="s">
        <v>48</v>
      </c>
      <c r="D183" s="6" t="s">
        <v>19</v>
      </c>
      <c r="E183" s="14">
        <v>119.7</v>
      </c>
      <c r="F183" s="8">
        <v>44021</v>
      </c>
      <c r="G183" s="9">
        <v>2020</v>
      </c>
      <c r="H183" s="7" t="s">
        <v>45</v>
      </c>
      <c r="I183" s="9">
        <v>2015</v>
      </c>
      <c r="J183" s="14">
        <v>507.4</v>
      </c>
      <c r="K183" s="15">
        <v>1865</v>
      </c>
    </row>
    <row r="184" spans="1:11" x14ac:dyDescent="0.25">
      <c r="A184" s="2" t="s">
        <v>234</v>
      </c>
      <c r="B184" s="2" t="s">
        <v>33</v>
      </c>
      <c r="C184" s="2" t="s">
        <v>18</v>
      </c>
      <c r="D184" s="2" t="s">
        <v>14</v>
      </c>
      <c r="E184" s="12">
        <v>6.2</v>
      </c>
      <c r="F184" s="4">
        <v>44021</v>
      </c>
      <c r="G184" s="5">
        <v>2020</v>
      </c>
      <c r="H184" s="3" t="s">
        <v>60</v>
      </c>
      <c r="I184" s="5">
        <v>2020</v>
      </c>
      <c r="J184" s="12">
        <v>30.7</v>
      </c>
      <c r="K184" s="13">
        <v>64</v>
      </c>
    </row>
    <row r="185" spans="1:11" x14ac:dyDescent="0.25">
      <c r="A185" s="6" t="s">
        <v>235</v>
      </c>
      <c r="B185" s="6" t="s">
        <v>67</v>
      </c>
      <c r="C185" s="6" t="s">
        <v>18</v>
      </c>
      <c r="D185" s="6" t="s">
        <v>14</v>
      </c>
      <c r="E185" s="14">
        <v>5.7</v>
      </c>
      <c r="F185" s="8">
        <v>44025</v>
      </c>
      <c r="G185" s="9">
        <v>2020</v>
      </c>
      <c r="H185" s="7" t="s">
        <v>23</v>
      </c>
      <c r="I185" s="9">
        <v>2016</v>
      </c>
      <c r="J185" s="14">
        <v>27.2</v>
      </c>
      <c r="K185" s="15">
        <v>63</v>
      </c>
    </row>
    <row r="186" spans="1:11" x14ac:dyDescent="0.25">
      <c r="A186" s="2" t="s">
        <v>236</v>
      </c>
      <c r="B186" s="2" t="s">
        <v>47</v>
      </c>
      <c r="C186" s="2" t="s">
        <v>63</v>
      </c>
      <c r="D186" s="2" t="s">
        <v>14</v>
      </c>
      <c r="E186" s="12">
        <v>7.9</v>
      </c>
      <c r="F186" s="4">
        <v>44025</v>
      </c>
      <c r="G186" s="5">
        <v>2020</v>
      </c>
      <c r="H186" s="3" t="s">
        <v>20</v>
      </c>
      <c r="I186" s="5">
        <v>2016</v>
      </c>
      <c r="J186" s="12">
        <v>59.7</v>
      </c>
      <c r="K186" s="13">
        <v>229</v>
      </c>
    </row>
    <row r="187" spans="1:11" x14ac:dyDescent="0.25">
      <c r="A187" s="6" t="s">
        <v>237</v>
      </c>
      <c r="B187" s="6" t="s">
        <v>17</v>
      </c>
      <c r="C187" s="6" t="s">
        <v>34</v>
      </c>
      <c r="D187" s="6" t="s">
        <v>31</v>
      </c>
      <c r="E187" s="14">
        <v>1.6</v>
      </c>
      <c r="F187" s="8">
        <v>44027</v>
      </c>
      <c r="G187" s="9">
        <v>2020</v>
      </c>
      <c r="H187" s="7" t="s">
        <v>20</v>
      </c>
      <c r="I187" s="9">
        <v>2019</v>
      </c>
      <c r="J187" s="14">
        <v>10.8</v>
      </c>
      <c r="K187" s="15">
        <v>41</v>
      </c>
    </row>
    <row r="188" spans="1:11" x14ac:dyDescent="0.25">
      <c r="A188" s="2" t="s">
        <v>238</v>
      </c>
      <c r="B188" s="2" t="s">
        <v>104</v>
      </c>
      <c r="C188" s="2" t="s">
        <v>13</v>
      </c>
      <c r="D188" s="2" t="s">
        <v>31</v>
      </c>
      <c r="E188" s="12">
        <v>3.6</v>
      </c>
      <c r="F188" s="4">
        <v>44028</v>
      </c>
      <c r="G188" s="5">
        <v>2020</v>
      </c>
      <c r="H188" s="3" t="s">
        <v>58</v>
      </c>
      <c r="I188" s="5">
        <v>2015</v>
      </c>
      <c r="J188" s="12">
        <v>22.2</v>
      </c>
      <c r="K188" s="13">
        <v>68</v>
      </c>
    </row>
    <row r="189" spans="1:11" x14ac:dyDescent="0.25">
      <c r="A189" s="6" t="s">
        <v>239</v>
      </c>
      <c r="B189" s="6" t="s">
        <v>33</v>
      </c>
      <c r="C189" s="6" t="s">
        <v>13</v>
      </c>
      <c r="D189" s="6" t="s">
        <v>14</v>
      </c>
      <c r="E189" s="14">
        <v>5.8</v>
      </c>
      <c r="F189" s="8">
        <v>44033</v>
      </c>
      <c r="G189" s="9">
        <v>2020</v>
      </c>
      <c r="H189" s="7" t="s">
        <v>65</v>
      </c>
      <c r="I189" s="9">
        <v>2015</v>
      </c>
      <c r="J189" s="14">
        <v>33.5</v>
      </c>
      <c r="K189" s="15">
        <v>131</v>
      </c>
    </row>
    <row r="190" spans="1:11" x14ac:dyDescent="0.25">
      <c r="A190" s="2" t="s">
        <v>240</v>
      </c>
      <c r="B190" s="2" t="s">
        <v>67</v>
      </c>
      <c r="C190" s="2" t="s">
        <v>34</v>
      </c>
      <c r="D190" s="2" t="s">
        <v>35</v>
      </c>
      <c r="E190" s="12">
        <v>236.7</v>
      </c>
      <c r="F190" s="4">
        <v>44040</v>
      </c>
      <c r="G190" s="5">
        <v>2020</v>
      </c>
      <c r="H190" s="3" t="s">
        <v>15</v>
      </c>
      <c r="I190" s="5">
        <v>2015</v>
      </c>
      <c r="J190" s="12">
        <v>2078.9</v>
      </c>
      <c r="K190" s="13">
        <v>7535</v>
      </c>
    </row>
    <row r="191" spans="1:11" x14ac:dyDescent="0.25">
      <c r="A191" s="6" t="s">
        <v>241</v>
      </c>
      <c r="B191" s="6" t="s">
        <v>17</v>
      </c>
      <c r="C191" s="6" t="s">
        <v>13</v>
      </c>
      <c r="D191" s="6" t="s">
        <v>31</v>
      </c>
      <c r="E191" s="14">
        <v>2.5</v>
      </c>
      <c r="F191" s="8">
        <v>44041</v>
      </c>
      <c r="G191" s="9">
        <v>2020</v>
      </c>
      <c r="H191" s="7" t="s">
        <v>27</v>
      </c>
      <c r="I191" s="9">
        <v>2020</v>
      </c>
      <c r="J191" s="14">
        <v>21.7</v>
      </c>
      <c r="K191" s="15">
        <v>66</v>
      </c>
    </row>
    <row r="192" spans="1:11" x14ac:dyDescent="0.25">
      <c r="A192" s="2" t="s">
        <v>242</v>
      </c>
      <c r="B192" s="2" t="s">
        <v>42</v>
      </c>
      <c r="C192" s="2" t="s">
        <v>18</v>
      </c>
      <c r="D192" s="2" t="s">
        <v>26</v>
      </c>
      <c r="E192" s="12">
        <v>41.8</v>
      </c>
      <c r="F192" s="4">
        <v>44044</v>
      </c>
      <c r="G192" s="5">
        <v>2020</v>
      </c>
      <c r="H192" s="3" t="s">
        <v>23</v>
      </c>
      <c r="I192" s="5">
        <v>2013</v>
      </c>
      <c r="J192" s="12">
        <v>237.3</v>
      </c>
      <c r="K192" s="13">
        <v>431</v>
      </c>
    </row>
    <row r="193" spans="1:11" x14ac:dyDescent="0.25">
      <c r="A193" s="6" t="s">
        <v>243</v>
      </c>
      <c r="B193" s="6" t="s">
        <v>42</v>
      </c>
      <c r="C193" s="6" t="s">
        <v>40</v>
      </c>
      <c r="D193" s="6" t="s">
        <v>35</v>
      </c>
      <c r="E193" s="14">
        <v>119.8</v>
      </c>
      <c r="F193" s="8">
        <v>44046</v>
      </c>
      <c r="G193" s="9">
        <v>2020</v>
      </c>
      <c r="H193" s="7" t="s">
        <v>60</v>
      </c>
      <c r="I193" s="9">
        <v>2020</v>
      </c>
      <c r="J193" s="14">
        <v>784.6</v>
      </c>
      <c r="K193" s="15">
        <v>1882</v>
      </c>
    </row>
    <row r="194" spans="1:11" x14ac:dyDescent="0.25">
      <c r="A194" s="2" t="s">
        <v>244</v>
      </c>
      <c r="B194" s="2" t="s">
        <v>29</v>
      </c>
      <c r="C194" s="2" t="s">
        <v>18</v>
      </c>
      <c r="D194" s="2" t="s">
        <v>31</v>
      </c>
      <c r="E194" s="12">
        <v>2.2000000000000002</v>
      </c>
      <c r="F194" s="4">
        <v>44047</v>
      </c>
      <c r="G194" s="5">
        <v>2020</v>
      </c>
      <c r="H194" s="3" t="s">
        <v>27</v>
      </c>
      <c r="I194" s="5">
        <v>2015</v>
      </c>
      <c r="J194" s="12">
        <v>11.2</v>
      </c>
      <c r="K194" s="13">
        <v>29</v>
      </c>
    </row>
    <row r="195" spans="1:11" x14ac:dyDescent="0.25">
      <c r="A195" s="6" t="s">
        <v>245</v>
      </c>
      <c r="B195" s="6" t="s">
        <v>76</v>
      </c>
      <c r="C195" s="6" t="s">
        <v>18</v>
      </c>
      <c r="D195" s="6" t="s">
        <v>31</v>
      </c>
      <c r="E195" s="14">
        <v>5</v>
      </c>
      <c r="F195" s="8">
        <v>44047</v>
      </c>
      <c r="G195" s="9">
        <v>2020</v>
      </c>
      <c r="H195" s="7" t="s">
        <v>20</v>
      </c>
      <c r="I195" s="9">
        <v>2013</v>
      </c>
      <c r="J195" s="14">
        <v>37.1</v>
      </c>
      <c r="K195" s="15">
        <v>120</v>
      </c>
    </row>
    <row r="196" spans="1:11" x14ac:dyDescent="0.25">
      <c r="A196" s="2" t="s">
        <v>246</v>
      </c>
      <c r="B196" s="2" t="s">
        <v>47</v>
      </c>
      <c r="C196" s="2" t="s">
        <v>18</v>
      </c>
      <c r="D196" s="2" t="s">
        <v>31</v>
      </c>
      <c r="E196" s="12">
        <v>3.4</v>
      </c>
      <c r="F196" s="4">
        <v>44050</v>
      </c>
      <c r="G196" s="5">
        <v>2020</v>
      </c>
      <c r="H196" s="3" t="s">
        <v>60</v>
      </c>
      <c r="I196" s="5">
        <v>2015</v>
      </c>
      <c r="J196" s="12">
        <v>17.7</v>
      </c>
      <c r="K196" s="13">
        <v>46</v>
      </c>
    </row>
    <row r="197" spans="1:11" x14ac:dyDescent="0.25">
      <c r="A197" s="6" t="s">
        <v>247</v>
      </c>
      <c r="B197" s="6" t="s">
        <v>100</v>
      </c>
      <c r="C197" s="6" t="s">
        <v>13</v>
      </c>
      <c r="D197" s="6" t="s">
        <v>31</v>
      </c>
      <c r="E197" s="14">
        <v>3</v>
      </c>
      <c r="F197" s="8">
        <v>44052</v>
      </c>
      <c r="G197" s="9">
        <v>2020</v>
      </c>
      <c r="H197" s="7" t="s">
        <v>53</v>
      </c>
      <c r="I197" s="9">
        <v>2019</v>
      </c>
      <c r="J197" s="14">
        <v>21.4</v>
      </c>
      <c r="K197" s="15">
        <v>45</v>
      </c>
    </row>
    <row r="198" spans="1:11" x14ac:dyDescent="0.25">
      <c r="A198" s="2" t="s">
        <v>248</v>
      </c>
      <c r="B198" s="2" t="s">
        <v>29</v>
      </c>
      <c r="C198" s="2" t="s">
        <v>13</v>
      </c>
      <c r="D198" s="2" t="s">
        <v>26</v>
      </c>
      <c r="E198" s="12">
        <v>42.7</v>
      </c>
      <c r="F198" s="4">
        <v>44059</v>
      </c>
      <c r="G198" s="5">
        <v>2020</v>
      </c>
      <c r="H198" s="3" t="s">
        <v>123</v>
      </c>
      <c r="I198" s="5">
        <v>2013</v>
      </c>
      <c r="J198" s="12">
        <v>205.8</v>
      </c>
      <c r="K198" s="13">
        <v>595</v>
      </c>
    </row>
    <row r="199" spans="1:11" x14ac:dyDescent="0.25">
      <c r="A199" s="6" t="s">
        <v>249</v>
      </c>
      <c r="B199" s="6" t="s">
        <v>104</v>
      </c>
      <c r="C199" s="6" t="s">
        <v>63</v>
      </c>
      <c r="D199" s="6" t="s">
        <v>26</v>
      </c>
      <c r="E199" s="14">
        <v>20.6</v>
      </c>
      <c r="F199" s="8">
        <v>44060</v>
      </c>
      <c r="G199" s="9">
        <v>2020</v>
      </c>
      <c r="H199" s="7" t="s">
        <v>107</v>
      </c>
      <c r="I199" s="9">
        <v>2016</v>
      </c>
      <c r="J199" s="14">
        <v>73.5</v>
      </c>
      <c r="K199" s="15">
        <v>240</v>
      </c>
    </row>
    <row r="200" spans="1:11" x14ac:dyDescent="0.25">
      <c r="A200" s="2" t="s">
        <v>250</v>
      </c>
      <c r="B200" s="2" t="s">
        <v>76</v>
      </c>
      <c r="C200" s="2" t="s">
        <v>34</v>
      </c>
      <c r="D200" s="2" t="s">
        <v>31</v>
      </c>
      <c r="E200" s="12">
        <v>1.2</v>
      </c>
      <c r="F200" s="4">
        <v>44063</v>
      </c>
      <c r="G200" s="5">
        <v>2020</v>
      </c>
      <c r="H200" s="3" t="s">
        <v>20</v>
      </c>
      <c r="I200" s="5">
        <v>2015</v>
      </c>
      <c r="J200" s="12">
        <v>8.4</v>
      </c>
      <c r="K200" s="13">
        <v>22</v>
      </c>
    </row>
    <row r="201" spans="1:11" x14ac:dyDescent="0.25">
      <c r="A201" s="6" t="s">
        <v>251</v>
      </c>
      <c r="B201" s="6" t="s">
        <v>33</v>
      </c>
      <c r="C201" s="6" t="s">
        <v>40</v>
      </c>
      <c r="D201" s="6" t="s">
        <v>31</v>
      </c>
      <c r="E201" s="14">
        <v>3.1</v>
      </c>
      <c r="F201" s="8">
        <v>44064</v>
      </c>
      <c r="G201" s="9">
        <v>2020</v>
      </c>
      <c r="H201" s="7" t="s">
        <v>15</v>
      </c>
      <c r="I201" s="9">
        <v>2016</v>
      </c>
      <c r="J201" s="14">
        <v>21.4</v>
      </c>
      <c r="K201" s="15">
        <v>37</v>
      </c>
    </row>
    <row r="202" spans="1:11" x14ac:dyDescent="0.25">
      <c r="A202" s="2" t="s">
        <v>252</v>
      </c>
      <c r="B202" s="2" t="s">
        <v>29</v>
      </c>
      <c r="C202" s="2" t="s">
        <v>18</v>
      </c>
      <c r="D202" s="2" t="s">
        <v>31</v>
      </c>
      <c r="E202" s="12">
        <v>1.7</v>
      </c>
      <c r="F202" s="4">
        <v>44065</v>
      </c>
      <c r="G202" s="5">
        <v>2020</v>
      </c>
      <c r="H202" s="3" t="s">
        <v>27</v>
      </c>
      <c r="I202" s="5">
        <v>2018</v>
      </c>
      <c r="J202" s="12">
        <v>7.6</v>
      </c>
      <c r="K202" s="13">
        <v>11</v>
      </c>
    </row>
    <row r="203" spans="1:11" x14ac:dyDescent="0.25">
      <c r="A203" s="6" t="s">
        <v>253</v>
      </c>
      <c r="B203" s="6" t="s">
        <v>76</v>
      </c>
      <c r="C203" s="6" t="s">
        <v>34</v>
      </c>
      <c r="D203" s="6" t="s">
        <v>31</v>
      </c>
      <c r="E203" s="14">
        <v>3.8</v>
      </c>
      <c r="F203" s="8">
        <v>44066</v>
      </c>
      <c r="G203" s="9">
        <v>2020</v>
      </c>
      <c r="H203" s="7" t="s">
        <v>107</v>
      </c>
      <c r="I203" s="9">
        <v>2020</v>
      </c>
      <c r="J203" s="14">
        <v>34.700000000000003</v>
      </c>
      <c r="K203" s="15">
        <v>117</v>
      </c>
    </row>
    <row r="204" spans="1:11" x14ac:dyDescent="0.25">
      <c r="A204" s="2" t="s">
        <v>254</v>
      </c>
      <c r="B204" s="2" t="s">
        <v>22</v>
      </c>
      <c r="C204" s="2" t="s">
        <v>25</v>
      </c>
      <c r="D204" s="2" t="s">
        <v>31</v>
      </c>
      <c r="E204" s="12">
        <v>2.6</v>
      </c>
      <c r="F204" s="4">
        <v>44067</v>
      </c>
      <c r="G204" s="5">
        <v>2020</v>
      </c>
      <c r="H204" s="3" t="s">
        <v>53</v>
      </c>
      <c r="I204" s="5">
        <v>2017</v>
      </c>
      <c r="J204" s="12">
        <v>18.7</v>
      </c>
      <c r="K204" s="13">
        <v>72</v>
      </c>
    </row>
    <row r="205" spans="1:11" x14ac:dyDescent="0.25">
      <c r="A205" s="6" t="s">
        <v>255</v>
      </c>
      <c r="B205" s="6" t="s">
        <v>42</v>
      </c>
      <c r="C205" s="6" t="s">
        <v>18</v>
      </c>
      <c r="D205" s="6" t="s">
        <v>14</v>
      </c>
      <c r="E205" s="14">
        <v>15.6</v>
      </c>
      <c r="F205" s="8">
        <v>44067</v>
      </c>
      <c r="G205" s="9">
        <v>2020</v>
      </c>
      <c r="H205" s="7" t="s">
        <v>37</v>
      </c>
      <c r="I205" s="9">
        <v>2014</v>
      </c>
      <c r="J205" s="14">
        <v>83.7</v>
      </c>
      <c r="K205" s="15">
        <v>185</v>
      </c>
    </row>
    <row r="206" spans="1:11" x14ac:dyDescent="0.25">
      <c r="A206" s="2" t="s">
        <v>256</v>
      </c>
      <c r="B206" s="2" t="s">
        <v>76</v>
      </c>
      <c r="C206" s="2" t="s">
        <v>25</v>
      </c>
      <c r="D206" s="2" t="s">
        <v>19</v>
      </c>
      <c r="E206" s="12">
        <v>118.1</v>
      </c>
      <c r="F206" s="4">
        <v>44068</v>
      </c>
      <c r="G206" s="5">
        <v>2020</v>
      </c>
      <c r="H206" s="3" t="s">
        <v>43</v>
      </c>
      <c r="I206" s="5">
        <v>2013</v>
      </c>
      <c r="J206" s="12">
        <v>631.5</v>
      </c>
      <c r="K206" s="13">
        <v>2000</v>
      </c>
    </row>
    <row r="207" spans="1:11" x14ac:dyDescent="0.25">
      <c r="A207" s="6" t="s">
        <v>257</v>
      </c>
      <c r="B207" s="6" t="s">
        <v>12</v>
      </c>
      <c r="C207" s="6" t="s">
        <v>48</v>
      </c>
      <c r="D207" s="6" t="s">
        <v>31</v>
      </c>
      <c r="E207" s="14">
        <v>4.4000000000000004</v>
      </c>
      <c r="F207" s="8">
        <v>44068</v>
      </c>
      <c r="G207" s="9">
        <v>2020</v>
      </c>
      <c r="H207" s="7" t="s">
        <v>43</v>
      </c>
      <c r="I207" s="9">
        <v>2016</v>
      </c>
      <c r="J207" s="14">
        <v>41.7</v>
      </c>
      <c r="K207" s="15">
        <v>145</v>
      </c>
    </row>
    <row r="208" spans="1:11" x14ac:dyDescent="0.25">
      <c r="A208" s="2" t="s">
        <v>258</v>
      </c>
      <c r="B208" s="2" t="s">
        <v>17</v>
      </c>
      <c r="C208" s="2" t="s">
        <v>63</v>
      </c>
      <c r="D208" s="2" t="s">
        <v>14</v>
      </c>
      <c r="E208" s="12">
        <v>5.7</v>
      </c>
      <c r="F208" s="4">
        <v>44076</v>
      </c>
      <c r="G208" s="5">
        <v>2020</v>
      </c>
      <c r="H208" s="3" t="s">
        <v>43</v>
      </c>
      <c r="I208" s="5">
        <v>2017</v>
      </c>
      <c r="J208" s="12">
        <v>21.2</v>
      </c>
      <c r="K208" s="13">
        <v>69</v>
      </c>
    </row>
    <row r="209" spans="1:11" x14ac:dyDescent="0.25">
      <c r="A209" s="6" t="s">
        <v>259</v>
      </c>
      <c r="B209" s="6" t="s">
        <v>47</v>
      </c>
      <c r="C209" s="6" t="s">
        <v>13</v>
      </c>
      <c r="D209" s="6" t="s">
        <v>14</v>
      </c>
      <c r="E209" s="14">
        <v>7</v>
      </c>
      <c r="F209" s="8">
        <v>44078</v>
      </c>
      <c r="G209" s="9">
        <v>2020</v>
      </c>
      <c r="H209" s="7" t="s">
        <v>60</v>
      </c>
      <c r="I209" s="9">
        <v>2015</v>
      </c>
      <c r="J209" s="14">
        <v>55.1</v>
      </c>
      <c r="K209" s="15">
        <v>195</v>
      </c>
    </row>
    <row r="210" spans="1:11" x14ac:dyDescent="0.25">
      <c r="A210" s="2" t="s">
        <v>260</v>
      </c>
      <c r="B210" s="2" t="s">
        <v>76</v>
      </c>
      <c r="C210" s="2" t="s">
        <v>13</v>
      </c>
      <c r="D210" s="2" t="s">
        <v>14</v>
      </c>
      <c r="E210" s="12">
        <v>16.600000000000001</v>
      </c>
      <c r="F210" s="4">
        <v>44079</v>
      </c>
      <c r="G210" s="5">
        <v>2020</v>
      </c>
      <c r="H210" s="3" t="s">
        <v>53</v>
      </c>
      <c r="I210" s="5">
        <v>2012</v>
      </c>
      <c r="J210" s="12">
        <v>108.9</v>
      </c>
      <c r="K210" s="13">
        <v>263</v>
      </c>
    </row>
    <row r="211" spans="1:11" x14ac:dyDescent="0.25">
      <c r="A211" s="6" t="s">
        <v>261</v>
      </c>
      <c r="B211" s="6" t="s">
        <v>33</v>
      </c>
      <c r="C211" s="6" t="s">
        <v>13</v>
      </c>
      <c r="D211" s="6" t="s">
        <v>26</v>
      </c>
      <c r="E211" s="14">
        <v>38.200000000000003</v>
      </c>
      <c r="F211" s="8">
        <v>44082</v>
      </c>
      <c r="G211" s="9">
        <v>2020</v>
      </c>
      <c r="H211" s="7" t="s">
        <v>27</v>
      </c>
      <c r="I211" s="9">
        <v>2015</v>
      </c>
      <c r="J211" s="14">
        <v>202.6</v>
      </c>
      <c r="K211" s="15">
        <v>799</v>
      </c>
    </row>
    <row r="212" spans="1:11" x14ac:dyDescent="0.25">
      <c r="A212" s="2" t="s">
        <v>262</v>
      </c>
      <c r="B212" s="2" t="s">
        <v>42</v>
      </c>
      <c r="C212" s="2" t="s">
        <v>48</v>
      </c>
      <c r="D212" s="2" t="s">
        <v>31</v>
      </c>
      <c r="E212" s="12">
        <v>1</v>
      </c>
      <c r="F212" s="4">
        <v>44087</v>
      </c>
      <c r="G212" s="5">
        <v>2020</v>
      </c>
      <c r="H212" s="3" t="s">
        <v>50</v>
      </c>
      <c r="I212" s="5">
        <v>2014</v>
      </c>
      <c r="J212" s="12">
        <v>4.8</v>
      </c>
      <c r="K212" s="13">
        <v>16</v>
      </c>
    </row>
    <row r="213" spans="1:11" x14ac:dyDescent="0.25">
      <c r="A213" s="6" t="s">
        <v>263</v>
      </c>
      <c r="B213" s="6" t="s">
        <v>17</v>
      </c>
      <c r="C213" s="6" t="s">
        <v>30</v>
      </c>
      <c r="D213" s="6" t="s">
        <v>31</v>
      </c>
      <c r="E213" s="14">
        <v>2</v>
      </c>
      <c r="F213" s="8">
        <v>44088</v>
      </c>
      <c r="G213" s="9">
        <v>2020</v>
      </c>
      <c r="H213" s="7" t="s">
        <v>65</v>
      </c>
      <c r="I213" s="9">
        <v>2019</v>
      </c>
      <c r="J213" s="14">
        <v>13</v>
      </c>
      <c r="K213" s="15">
        <v>50</v>
      </c>
    </row>
    <row r="214" spans="1:11" x14ac:dyDescent="0.25">
      <c r="A214" s="2" t="s">
        <v>264</v>
      </c>
      <c r="B214" s="2" t="s">
        <v>39</v>
      </c>
      <c r="C214" s="2" t="s">
        <v>30</v>
      </c>
      <c r="D214" s="2" t="s">
        <v>31</v>
      </c>
      <c r="E214" s="12">
        <v>0.5</v>
      </c>
      <c r="F214" s="4">
        <v>44088</v>
      </c>
      <c r="G214" s="5">
        <v>2020</v>
      </c>
      <c r="H214" s="3" t="s">
        <v>55</v>
      </c>
      <c r="I214" s="5">
        <v>2012</v>
      </c>
      <c r="J214" s="12">
        <v>2.5</v>
      </c>
      <c r="K214" s="13">
        <v>8</v>
      </c>
    </row>
    <row r="215" spans="1:11" x14ac:dyDescent="0.25">
      <c r="A215" s="6" t="s">
        <v>265</v>
      </c>
      <c r="B215" s="6" t="s">
        <v>12</v>
      </c>
      <c r="C215" s="6" t="s">
        <v>34</v>
      </c>
      <c r="D215" s="6" t="s">
        <v>31</v>
      </c>
      <c r="E215" s="14">
        <v>2.7</v>
      </c>
      <c r="F215" s="8">
        <v>44088</v>
      </c>
      <c r="G215" s="9">
        <v>2020</v>
      </c>
      <c r="H215" s="7" t="s">
        <v>55</v>
      </c>
      <c r="I215" s="9">
        <v>2015</v>
      </c>
      <c r="J215" s="14">
        <v>21.5</v>
      </c>
      <c r="K215" s="15">
        <v>33</v>
      </c>
    </row>
    <row r="216" spans="1:11" x14ac:dyDescent="0.25">
      <c r="A216" s="2" t="s">
        <v>266</v>
      </c>
      <c r="B216" s="2" t="s">
        <v>104</v>
      </c>
      <c r="C216" s="2" t="s">
        <v>18</v>
      </c>
      <c r="D216" s="2" t="s">
        <v>31</v>
      </c>
      <c r="E216" s="12">
        <v>2.5</v>
      </c>
      <c r="F216" s="4">
        <v>44096</v>
      </c>
      <c r="G216" s="5">
        <v>2020</v>
      </c>
      <c r="H216" s="3" t="s">
        <v>43</v>
      </c>
      <c r="I216" s="5">
        <v>2016</v>
      </c>
      <c r="J216" s="12">
        <v>22.8</v>
      </c>
      <c r="K216" s="13">
        <v>52</v>
      </c>
    </row>
    <row r="217" spans="1:11" x14ac:dyDescent="0.25">
      <c r="A217" s="6" t="s">
        <v>267</v>
      </c>
      <c r="B217" s="6" t="s">
        <v>29</v>
      </c>
      <c r="C217" s="6" t="s">
        <v>18</v>
      </c>
      <c r="D217" s="6" t="s">
        <v>19</v>
      </c>
      <c r="E217" s="14">
        <v>106.6</v>
      </c>
      <c r="F217" s="8">
        <v>44096</v>
      </c>
      <c r="G217" s="9">
        <v>2020</v>
      </c>
      <c r="H217" s="7" t="s">
        <v>60</v>
      </c>
      <c r="I217" s="9">
        <v>2016</v>
      </c>
      <c r="J217" s="14">
        <v>579.6</v>
      </c>
      <c r="K217" s="15">
        <v>870</v>
      </c>
    </row>
    <row r="218" spans="1:11" x14ac:dyDescent="0.25">
      <c r="A218" s="2" t="s">
        <v>268</v>
      </c>
      <c r="B218" s="2" t="s">
        <v>76</v>
      </c>
      <c r="C218" s="2" t="s">
        <v>25</v>
      </c>
      <c r="D218" s="2" t="s">
        <v>26</v>
      </c>
      <c r="E218" s="12">
        <v>36.200000000000003</v>
      </c>
      <c r="F218" s="4">
        <v>44098</v>
      </c>
      <c r="G218" s="5">
        <v>2020</v>
      </c>
      <c r="H218" s="3" t="s">
        <v>20</v>
      </c>
      <c r="I218" s="5">
        <v>2020</v>
      </c>
      <c r="J218" s="12">
        <v>202.1</v>
      </c>
      <c r="K218" s="13">
        <v>477</v>
      </c>
    </row>
    <row r="219" spans="1:11" x14ac:dyDescent="0.25">
      <c r="A219" s="6" t="s">
        <v>269</v>
      </c>
      <c r="B219" s="6" t="s">
        <v>12</v>
      </c>
      <c r="C219" s="6" t="s">
        <v>34</v>
      </c>
      <c r="D219" s="6" t="s">
        <v>31</v>
      </c>
      <c r="E219" s="14">
        <v>1</v>
      </c>
      <c r="F219" s="8">
        <v>44099</v>
      </c>
      <c r="G219" s="9">
        <v>2020</v>
      </c>
      <c r="H219" s="7" t="s">
        <v>50</v>
      </c>
      <c r="I219" s="9">
        <v>2020</v>
      </c>
      <c r="J219" s="14">
        <v>4.7</v>
      </c>
      <c r="K219" s="15">
        <v>8</v>
      </c>
    </row>
    <row r="220" spans="1:11" x14ac:dyDescent="0.25">
      <c r="A220" s="2" t="s">
        <v>270</v>
      </c>
      <c r="B220" s="2" t="s">
        <v>100</v>
      </c>
      <c r="C220" s="2" t="s">
        <v>13</v>
      </c>
      <c r="D220" s="2" t="s">
        <v>31</v>
      </c>
      <c r="E220" s="12">
        <v>2.4</v>
      </c>
      <c r="F220" s="4">
        <v>44102</v>
      </c>
      <c r="G220" s="5">
        <v>2020</v>
      </c>
      <c r="H220" s="3" t="s">
        <v>45</v>
      </c>
      <c r="I220" s="5">
        <v>2019</v>
      </c>
      <c r="J220" s="12">
        <v>20.100000000000001</v>
      </c>
      <c r="K220" s="13">
        <v>57</v>
      </c>
    </row>
    <row r="221" spans="1:11" x14ac:dyDescent="0.25">
      <c r="A221" s="6" t="s">
        <v>271</v>
      </c>
      <c r="B221" s="6" t="s">
        <v>33</v>
      </c>
      <c r="C221" s="6" t="s">
        <v>18</v>
      </c>
      <c r="D221" s="6" t="s">
        <v>31</v>
      </c>
      <c r="E221" s="14">
        <v>1.2</v>
      </c>
      <c r="F221" s="8">
        <v>44105</v>
      </c>
      <c r="G221" s="9">
        <v>2020</v>
      </c>
      <c r="H221" s="7" t="s">
        <v>107</v>
      </c>
      <c r="I221" s="9">
        <v>2018</v>
      </c>
      <c r="J221" s="14">
        <v>9.8000000000000007</v>
      </c>
      <c r="K221" s="15">
        <v>28</v>
      </c>
    </row>
    <row r="222" spans="1:11" x14ac:dyDescent="0.25">
      <c r="A222" s="2" t="s">
        <v>272</v>
      </c>
      <c r="B222" s="2" t="s">
        <v>42</v>
      </c>
      <c r="C222" s="2" t="s">
        <v>34</v>
      </c>
      <c r="D222" s="2" t="s">
        <v>35</v>
      </c>
      <c r="E222" s="12">
        <v>147</v>
      </c>
      <c r="F222" s="4">
        <v>44105</v>
      </c>
      <c r="G222" s="5">
        <v>2020</v>
      </c>
      <c r="H222" s="3" t="s">
        <v>45</v>
      </c>
      <c r="I222" s="5">
        <v>2018</v>
      </c>
      <c r="J222" s="12">
        <v>879.9</v>
      </c>
      <c r="K222" s="13">
        <v>3292</v>
      </c>
    </row>
    <row r="223" spans="1:11" x14ac:dyDescent="0.25">
      <c r="A223" s="6" t="s">
        <v>273</v>
      </c>
      <c r="B223" s="6" t="s">
        <v>17</v>
      </c>
      <c r="C223" s="6" t="s">
        <v>34</v>
      </c>
      <c r="D223" s="6" t="s">
        <v>31</v>
      </c>
      <c r="E223" s="14">
        <v>2.2999999999999998</v>
      </c>
      <c r="F223" s="8">
        <v>44106</v>
      </c>
      <c r="G223" s="9">
        <v>2020</v>
      </c>
      <c r="H223" s="7" t="s">
        <v>107</v>
      </c>
      <c r="I223" s="9">
        <v>2016</v>
      </c>
      <c r="J223" s="14">
        <v>20.2</v>
      </c>
      <c r="K223" s="15">
        <v>54</v>
      </c>
    </row>
    <row r="224" spans="1:11" x14ac:dyDescent="0.25">
      <c r="A224" s="2" t="s">
        <v>274</v>
      </c>
      <c r="B224" s="2" t="s">
        <v>42</v>
      </c>
      <c r="C224" s="2" t="s">
        <v>48</v>
      </c>
      <c r="D224" s="2" t="s">
        <v>35</v>
      </c>
      <c r="E224" s="12">
        <v>142.30000000000001</v>
      </c>
      <c r="F224" s="4">
        <v>44112</v>
      </c>
      <c r="G224" s="5">
        <v>2020</v>
      </c>
      <c r="H224" s="3" t="s">
        <v>15</v>
      </c>
      <c r="I224" s="5">
        <v>2015</v>
      </c>
      <c r="J224" s="12">
        <v>1118.5999999999999</v>
      </c>
      <c r="K224" s="13">
        <v>2044</v>
      </c>
    </row>
    <row r="225" spans="1:11" x14ac:dyDescent="0.25">
      <c r="A225" s="6" t="s">
        <v>275</v>
      </c>
      <c r="B225" s="6" t="s">
        <v>12</v>
      </c>
      <c r="C225" s="6" t="s">
        <v>18</v>
      </c>
      <c r="D225" s="6" t="s">
        <v>19</v>
      </c>
      <c r="E225" s="14">
        <v>90.8</v>
      </c>
      <c r="F225" s="8">
        <v>44116</v>
      </c>
      <c r="G225" s="9">
        <v>2020</v>
      </c>
      <c r="H225" s="7" t="s">
        <v>50</v>
      </c>
      <c r="I225" s="9">
        <v>2017</v>
      </c>
      <c r="J225" s="14">
        <v>821</v>
      </c>
      <c r="K225" s="15">
        <v>1795</v>
      </c>
    </row>
    <row r="226" spans="1:11" x14ac:dyDescent="0.25">
      <c r="A226" s="2" t="s">
        <v>276</v>
      </c>
      <c r="B226" s="2" t="s">
        <v>12</v>
      </c>
      <c r="C226" s="2" t="s">
        <v>18</v>
      </c>
      <c r="D226" s="2" t="s">
        <v>14</v>
      </c>
      <c r="E226" s="12">
        <v>8.1999999999999993</v>
      </c>
      <c r="F226" s="4">
        <v>44117</v>
      </c>
      <c r="G226" s="5">
        <v>2020</v>
      </c>
      <c r="H226" s="3" t="s">
        <v>45</v>
      </c>
      <c r="I226" s="5">
        <v>2012</v>
      </c>
      <c r="J226" s="12">
        <v>41.5</v>
      </c>
      <c r="K226" s="13">
        <v>143</v>
      </c>
    </row>
    <row r="227" spans="1:11" x14ac:dyDescent="0.25">
      <c r="A227" s="6" t="s">
        <v>277</v>
      </c>
      <c r="B227" s="6" t="s">
        <v>29</v>
      </c>
      <c r="C227" s="6" t="s">
        <v>18</v>
      </c>
      <c r="D227" s="6" t="s">
        <v>19</v>
      </c>
      <c r="E227" s="14">
        <v>108.1</v>
      </c>
      <c r="F227" s="8">
        <v>44118</v>
      </c>
      <c r="G227" s="9">
        <v>2020</v>
      </c>
      <c r="H227" s="7" t="s">
        <v>45</v>
      </c>
      <c r="I227" s="9">
        <v>2017</v>
      </c>
      <c r="J227" s="14">
        <v>566.1</v>
      </c>
      <c r="K227" s="15">
        <v>1399</v>
      </c>
    </row>
    <row r="228" spans="1:11" x14ac:dyDescent="0.25">
      <c r="A228" s="2" t="s">
        <v>278</v>
      </c>
      <c r="B228" s="2" t="s">
        <v>33</v>
      </c>
      <c r="C228" s="2" t="s">
        <v>18</v>
      </c>
      <c r="D228" s="2" t="s">
        <v>26</v>
      </c>
      <c r="E228" s="12">
        <v>37.700000000000003</v>
      </c>
      <c r="F228" s="4">
        <v>44119</v>
      </c>
      <c r="G228" s="5">
        <v>2020</v>
      </c>
      <c r="H228" s="3" t="s">
        <v>53</v>
      </c>
      <c r="I228" s="5">
        <v>2019</v>
      </c>
      <c r="J228" s="12">
        <v>150</v>
      </c>
      <c r="K228" s="13">
        <v>355</v>
      </c>
    </row>
    <row r="229" spans="1:11" x14ac:dyDescent="0.25">
      <c r="A229" s="6" t="s">
        <v>279</v>
      </c>
      <c r="B229" s="6" t="s">
        <v>22</v>
      </c>
      <c r="C229" s="6" t="s">
        <v>71</v>
      </c>
      <c r="D229" s="6" t="s">
        <v>26</v>
      </c>
      <c r="E229" s="14">
        <v>30.8</v>
      </c>
      <c r="F229" s="8">
        <v>44120</v>
      </c>
      <c r="G229" s="9">
        <v>2020</v>
      </c>
      <c r="H229" s="7" t="s">
        <v>27</v>
      </c>
      <c r="I229" s="9">
        <v>2017</v>
      </c>
      <c r="J229" s="14">
        <v>241.7</v>
      </c>
      <c r="K229" s="15">
        <v>961</v>
      </c>
    </row>
    <row r="230" spans="1:11" x14ac:dyDescent="0.25">
      <c r="A230" s="2" t="s">
        <v>280</v>
      </c>
      <c r="B230" s="2" t="s">
        <v>29</v>
      </c>
      <c r="C230" s="2" t="s">
        <v>18</v>
      </c>
      <c r="D230" s="2" t="s">
        <v>14</v>
      </c>
      <c r="E230" s="12">
        <v>11.9</v>
      </c>
      <c r="F230" s="4">
        <v>44122</v>
      </c>
      <c r="G230" s="5">
        <v>2020</v>
      </c>
      <c r="H230" s="3" t="s">
        <v>27</v>
      </c>
      <c r="I230" s="5">
        <v>2014</v>
      </c>
      <c r="J230" s="12">
        <v>57.5</v>
      </c>
      <c r="K230" s="13">
        <v>138</v>
      </c>
    </row>
    <row r="231" spans="1:11" x14ac:dyDescent="0.25">
      <c r="A231" s="6" t="s">
        <v>281</v>
      </c>
      <c r="B231" s="6" t="s">
        <v>100</v>
      </c>
      <c r="C231" s="6" t="s">
        <v>30</v>
      </c>
      <c r="D231" s="6" t="s">
        <v>14</v>
      </c>
      <c r="E231" s="14">
        <v>13.9</v>
      </c>
      <c r="F231" s="8">
        <v>44125</v>
      </c>
      <c r="G231" s="9">
        <v>2020</v>
      </c>
      <c r="H231" s="7" t="s">
        <v>37</v>
      </c>
      <c r="I231" s="9">
        <v>2018</v>
      </c>
      <c r="J231" s="14">
        <v>57</v>
      </c>
      <c r="K231" s="15">
        <v>87</v>
      </c>
    </row>
    <row r="232" spans="1:11" x14ac:dyDescent="0.25">
      <c r="A232" s="2" t="s">
        <v>282</v>
      </c>
      <c r="B232" s="2" t="s">
        <v>42</v>
      </c>
      <c r="C232" s="2" t="s">
        <v>71</v>
      </c>
      <c r="D232" s="2" t="s">
        <v>35</v>
      </c>
      <c r="E232" s="12">
        <v>494.1</v>
      </c>
      <c r="F232" s="4">
        <v>44126</v>
      </c>
      <c r="G232" s="5">
        <v>2020</v>
      </c>
      <c r="H232" s="3" t="s">
        <v>123</v>
      </c>
      <c r="I232" s="5">
        <v>2017</v>
      </c>
      <c r="J232" s="12">
        <v>5207.2</v>
      </c>
      <c r="K232" s="13">
        <v>10295</v>
      </c>
    </row>
    <row r="233" spans="1:11" x14ac:dyDescent="0.25">
      <c r="A233" s="6" t="s">
        <v>283</v>
      </c>
      <c r="B233" s="6" t="s">
        <v>12</v>
      </c>
      <c r="C233" s="6" t="s">
        <v>48</v>
      </c>
      <c r="D233" s="6" t="s">
        <v>31</v>
      </c>
      <c r="E233" s="14">
        <v>1.3</v>
      </c>
      <c r="F233" s="8">
        <v>44132</v>
      </c>
      <c r="G233" s="9">
        <v>2020</v>
      </c>
      <c r="H233" s="7" t="s">
        <v>20</v>
      </c>
      <c r="I233" s="9">
        <v>2020</v>
      </c>
      <c r="J233" s="14">
        <v>7.7</v>
      </c>
      <c r="K233" s="15">
        <v>21</v>
      </c>
    </row>
    <row r="234" spans="1:11" x14ac:dyDescent="0.25">
      <c r="A234" s="2" t="s">
        <v>284</v>
      </c>
      <c r="B234" s="2" t="s">
        <v>39</v>
      </c>
      <c r="C234" s="2" t="s">
        <v>34</v>
      </c>
      <c r="D234" s="2" t="s">
        <v>14</v>
      </c>
      <c r="E234" s="12">
        <v>11.7</v>
      </c>
      <c r="F234" s="4">
        <v>44137</v>
      </c>
      <c r="G234" s="5">
        <v>2020</v>
      </c>
      <c r="H234" s="3" t="s">
        <v>58</v>
      </c>
      <c r="I234" s="5">
        <v>2020</v>
      </c>
      <c r="J234" s="12">
        <v>72.7</v>
      </c>
      <c r="K234" s="13">
        <v>182</v>
      </c>
    </row>
    <row r="235" spans="1:11" x14ac:dyDescent="0.25">
      <c r="A235" s="6" t="s">
        <v>285</v>
      </c>
      <c r="B235" s="6" t="s">
        <v>76</v>
      </c>
      <c r="C235" s="6" t="s">
        <v>34</v>
      </c>
      <c r="D235" s="6" t="s">
        <v>26</v>
      </c>
      <c r="E235" s="14">
        <v>39.700000000000003</v>
      </c>
      <c r="F235" s="8">
        <v>44143</v>
      </c>
      <c r="G235" s="9">
        <v>2020</v>
      </c>
      <c r="H235" s="7" t="s">
        <v>55</v>
      </c>
      <c r="I235" s="9">
        <v>2020</v>
      </c>
      <c r="J235" s="14">
        <v>277.3</v>
      </c>
      <c r="K235" s="15">
        <v>1058</v>
      </c>
    </row>
    <row r="236" spans="1:11" x14ac:dyDescent="0.25">
      <c r="A236" s="2" t="s">
        <v>286</v>
      </c>
      <c r="B236" s="2" t="s">
        <v>22</v>
      </c>
      <c r="C236" s="2" t="s">
        <v>25</v>
      </c>
      <c r="D236" s="2" t="s">
        <v>19</v>
      </c>
      <c r="E236" s="12">
        <v>98.4</v>
      </c>
      <c r="F236" s="4">
        <v>44145</v>
      </c>
      <c r="G236" s="5">
        <v>2020</v>
      </c>
      <c r="H236" s="3" t="s">
        <v>107</v>
      </c>
      <c r="I236" s="5">
        <v>2014</v>
      </c>
      <c r="J236" s="12">
        <v>927.3</v>
      </c>
      <c r="K236" s="13">
        <v>2860</v>
      </c>
    </row>
    <row r="237" spans="1:11" x14ac:dyDescent="0.25">
      <c r="A237" s="6" t="s">
        <v>287</v>
      </c>
      <c r="B237" s="6" t="s">
        <v>42</v>
      </c>
      <c r="C237" s="6" t="s">
        <v>18</v>
      </c>
      <c r="D237" s="6" t="s">
        <v>35</v>
      </c>
      <c r="E237" s="14">
        <v>378.3</v>
      </c>
      <c r="F237" s="8">
        <v>44147</v>
      </c>
      <c r="G237" s="9">
        <v>2020</v>
      </c>
      <c r="H237" s="7" t="s">
        <v>20</v>
      </c>
      <c r="I237" s="9">
        <v>2016</v>
      </c>
      <c r="J237" s="14">
        <v>3648.6</v>
      </c>
      <c r="K237" s="15">
        <v>7739</v>
      </c>
    </row>
    <row r="238" spans="1:11" x14ac:dyDescent="0.25">
      <c r="A238" s="2" t="s">
        <v>288</v>
      </c>
      <c r="B238" s="2" t="s">
        <v>76</v>
      </c>
      <c r="C238" s="2" t="s">
        <v>34</v>
      </c>
      <c r="D238" s="2" t="s">
        <v>31</v>
      </c>
      <c r="E238" s="12">
        <v>1.3</v>
      </c>
      <c r="F238" s="4">
        <v>44159</v>
      </c>
      <c r="G238" s="5">
        <v>2020</v>
      </c>
      <c r="H238" s="3" t="s">
        <v>55</v>
      </c>
      <c r="I238" s="5">
        <v>2012</v>
      </c>
      <c r="J238" s="12">
        <v>7.3</v>
      </c>
      <c r="K238" s="13">
        <v>12</v>
      </c>
    </row>
    <row r="239" spans="1:11" x14ac:dyDescent="0.25">
      <c r="A239" s="6" t="s">
        <v>289</v>
      </c>
      <c r="B239" s="6" t="s">
        <v>17</v>
      </c>
      <c r="C239" s="6" t="s">
        <v>18</v>
      </c>
      <c r="D239" s="6" t="s">
        <v>19</v>
      </c>
      <c r="E239" s="14">
        <v>94.7</v>
      </c>
      <c r="F239" s="8">
        <v>44160</v>
      </c>
      <c r="G239" s="9">
        <v>2020</v>
      </c>
      <c r="H239" s="7" t="s">
        <v>23</v>
      </c>
      <c r="I239" s="9">
        <v>2019</v>
      </c>
      <c r="J239" s="14">
        <v>622.1</v>
      </c>
      <c r="K239" s="15">
        <v>2136</v>
      </c>
    </row>
    <row r="240" spans="1:11" x14ac:dyDescent="0.25">
      <c r="A240" s="2" t="s">
        <v>290</v>
      </c>
      <c r="B240" s="2" t="s">
        <v>42</v>
      </c>
      <c r="C240" s="2" t="s">
        <v>40</v>
      </c>
      <c r="D240" s="2" t="s">
        <v>19</v>
      </c>
      <c r="E240" s="12">
        <v>74.2</v>
      </c>
      <c r="F240" s="4">
        <v>44161</v>
      </c>
      <c r="G240" s="5">
        <v>2020</v>
      </c>
      <c r="H240" s="3" t="s">
        <v>37</v>
      </c>
      <c r="I240" s="5">
        <v>2019</v>
      </c>
      <c r="J240" s="12">
        <v>493.7</v>
      </c>
      <c r="K240" s="13">
        <v>1798</v>
      </c>
    </row>
    <row r="241" spans="1:11" x14ac:dyDescent="0.25">
      <c r="A241" s="6" t="s">
        <v>291</v>
      </c>
      <c r="B241" s="6" t="s">
        <v>42</v>
      </c>
      <c r="C241" s="6" t="s">
        <v>25</v>
      </c>
      <c r="D241" s="6" t="s">
        <v>19</v>
      </c>
      <c r="E241" s="14">
        <v>108.3</v>
      </c>
      <c r="F241" s="8">
        <v>44163</v>
      </c>
      <c r="G241" s="9">
        <v>2020</v>
      </c>
      <c r="H241" s="7" t="s">
        <v>65</v>
      </c>
      <c r="I241" s="9">
        <v>2013</v>
      </c>
      <c r="J241" s="14">
        <v>545.9</v>
      </c>
      <c r="K241" s="15">
        <v>1594</v>
      </c>
    </row>
    <row r="242" spans="1:11" x14ac:dyDescent="0.25">
      <c r="A242" s="2" t="s">
        <v>292</v>
      </c>
      <c r="B242" s="2" t="s">
        <v>12</v>
      </c>
      <c r="C242" s="2" t="s">
        <v>34</v>
      </c>
      <c r="D242" s="2" t="s">
        <v>19</v>
      </c>
      <c r="E242" s="12">
        <v>90.3</v>
      </c>
      <c r="F242" s="4">
        <v>44168</v>
      </c>
      <c r="G242" s="5">
        <v>2020</v>
      </c>
      <c r="H242" s="3" t="s">
        <v>58</v>
      </c>
      <c r="I242" s="5">
        <v>2014</v>
      </c>
      <c r="J242" s="12">
        <v>775.7</v>
      </c>
      <c r="K242" s="13">
        <v>1654</v>
      </c>
    </row>
    <row r="243" spans="1:11" x14ac:dyDescent="0.25">
      <c r="A243" s="6" t="s">
        <v>293</v>
      </c>
      <c r="B243" s="6" t="s">
        <v>47</v>
      </c>
      <c r="C243" s="6" t="s">
        <v>34</v>
      </c>
      <c r="D243" s="6" t="s">
        <v>19</v>
      </c>
      <c r="E243" s="14">
        <v>57.2</v>
      </c>
      <c r="F243" s="8">
        <v>44169</v>
      </c>
      <c r="G243" s="9">
        <v>2020</v>
      </c>
      <c r="H243" s="7" t="s">
        <v>58</v>
      </c>
      <c r="I243" s="9">
        <v>2019</v>
      </c>
      <c r="J243" s="14">
        <v>347.2</v>
      </c>
      <c r="K243" s="15">
        <v>694</v>
      </c>
    </row>
    <row r="244" spans="1:11" x14ac:dyDescent="0.25">
      <c r="A244" s="2" t="s">
        <v>294</v>
      </c>
      <c r="B244" s="2" t="s">
        <v>17</v>
      </c>
      <c r="C244" s="2" t="s">
        <v>34</v>
      </c>
      <c r="D244" s="2" t="s">
        <v>35</v>
      </c>
      <c r="E244" s="12">
        <v>188.4</v>
      </c>
      <c r="F244" s="4">
        <v>44170</v>
      </c>
      <c r="G244" s="5">
        <v>2020</v>
      </c>
      <c r="H244" s="3" t="s">
        <v>60</v>
      </c>
      <c r="I244" s="5">
        <v>2016</v>
      </c>
      <c r="J244" s="12">
        <v>1435.9</v>
      </c>
      <c r="K244" s="13">
        <v>5497</v>
      </c>
    </row>
    <row r="245" spans="1:11" x14ac:dyDescent="0.25">
      <c r="A245" s="6" t="s">
        <v>295</v>
      </c>
      <c r="B245" s="6" t="s">
        <v>33</v>
      </c>
      <c r="C245" s="6" t="s">
        <v>18</v>
      </c>
      <c r="D245" s="6" t="s">
        <v>26</v>
      </c>
      <c r="E245" s="14">
        <v>22.5</v>
      </c>
      <c r="F245" s="8">
        <v>44172</v>
      </c>
      <c r="G245" s="9">
        <v>2020</v>
      </c>
      <c r="H245" s="7" t="s">
        <v>37</v>
      </c>
      <c r="I245" s="9">
        <v>2017</v>
      </c>
      <c r="J245" s="14">
        <v>167.8</v>
      </c>
      <c r="K245" s="15">
        <v>363</v>
      </c>
    </row>
    <row r="246" spans="1:11" x14ac:dyDescent="0.25">
      <c r="A246" s="2" t="s">
        <v>296</v>
      </c>
      <c r="B246" s="2" t="s">
        <v>12</v>
      </c>
      <c r="C246" s="2" t="s">
        <v>63</v>
      </c>
      <c r="D246" s="2" t="s">
        <v>35</v>
      </c>
      <c r="E246" s="12">
        <v>292.3</v>
      </c>
      <c r="F246" s="4">
        <v>44173</v>
      </c>
      <c r="G246" s="5">
        <v>2020</v>
      </c>
      <c r="H246" s="3" t="s">
        <v>27</v>
      </c>
      <c r="I246" s="5">
        <v>2017</v>
      </c>
      <c r="J246" s="12">
        <v>2689.3</v>
      </c>
      <c r="K246" s="13">
        <v>8468</v>
      </c>
    </row>
    <row r="247" spans="1:11" x14ac:dyDescent="0.25">
      <c r="A247" s="6" t="s">
        <v>297</v>
      </c>
      <c r="B247" s="6" t="s">
        <v>29</v>
      </c>
      <c r="C247" s="6" t="s">
        <v>63</v>
      </c>
      <c r="D247" s="6" t="s">
        <v>31</v>
      </c>
      <c r="E247" s="14">
        <v>0.6</v>
      </c>
      <c r="F247" s="8">
        <v>44175</v>
      </c>
      <c r="G247" s="9">
        <v>2020</v>
      </c>
      <c r="H247" s="7" t="s">
        <v>27</v>
      </c>
      <c r="I247" s="9">
        <v>2013</v>
      </c>
      <c r="J247" s="14">
        <v>4.8</v>
      </c>
      <c r="K247" s="15">
        <v>8</v>
      </c>
    </row>
    <row r="248" spans="1:11" x14ac:dyDescent="0.25">
      <c r="A248" s="2" t="s">
        <v>298</v>
      </c>
      <c r="B248" s="2" t="s">
        <v>42</v>
      </c>
      <c r="C248" s="2" t="s">
        <v>18</v>
      </c>
      <c r="D248" s="2" t="s">
        <v>26</v>
      </c>
      <c r="E248" s="12">
        <v>24.8</v>
      </c>
      <c r="F248" s="4">
        <v>44177</v>
      </c>
      <c r="G248" s="5">
        <v>2020</v>
      </c>
      <c r="H248" s="3" t="s">
        <v>50</v>
      </c>
      <c r="I248" s="5">
        <v>2018</v>
      </c>
      <c r="J248" s="12">
        <v>163.80000000000001</v>
      </c>
      <c r="K248" s="13">
        <v>498</v>
      </c>
    </row>
    <row r="249" spans="1:11" x14ac:dyDescent="0.25">
      <c r="A249" s="6" t="s">
        <v>299</v>
      </c>
      <c r="B249" s="6" t="s">
        <v>42</v>
      </c>
      <c r="C249" s="6" t="s">
        <v>25</v>
      </c>
      <c r="D249" s="6" t="s">
        <v>26</v>
      </c>
      <c r="E249" s="14">
        <v>17.2</v>
      </c>
      <c r="F249" s="8">
        <v>44180</v>
      </c>
      <c r="G249" s="9">
        <v>2020</v>
      </c>
      <c r="H249" s="7" t="s">
        <v>15</v>
      </c>
      <c r="I249" s="9">
        <v>2019</v>
      </c>
      <c r="J249" s="14">
        <v>66.099999999999994</v>
      </c>
      <c r="K249" s="15">
        <v>173</v>
      </c>
    </row>
    <row r="250" spans="1:11" x14ac:dyDescent="0.25">
      <c r="A250" s="2" t="s">
        <v>300</v>
      </c>
      <c r="B250" s="2" t="s">
        <v>33</v>
      </c>
      <c r="C250" s="2" t="s">
        <v>63</v>
      </c>
      <c r="D250" s="2" t="s">
        <v>26</v>
      </c>
      <c r="E250" s="12">
        <v>37.200000000000003</v>
      </c>
      <c r="F250" s="4">
        <v>44184</v>
      </c>
      <c r="G250" s="5">
        <v>2020</v>
      </c>
      <c r="H250" s="3" t="s">
        <v>107</v>
      </c>
      <c r="I250" s="5">
        <v>2016</v>
      </c>
      <c r="J250" s="12">
        <v>226.3</v>
      </c>
      <c r="K250" s="13">
        <v>457</v>
      </c>
    </row>
    <row r="251" spans="1:11" x14ac:dyDescent="0.25">
      <c r="A251" s="6" t="s">
        <v>301</v>
      </c>
      <c r="B251" s="6" t="s">
        <v>17</v>
      </c>
      <c r="C251" s="6" t="s">
        <v>34</v>
      </c>
      <c r="D251" s="6" t="s">
        <v>14</v>
      </c>
      <c r="E251" s="14">
        <v>4.9000000000000004</v>
      </c>
      <c r="F251" s="8">
        <v>44185</v>
      </c>
      <c r="G251" s="9">
        <v>2020</v>
      </c>
      <c r="H251" s="7" t="s">
        <v>27</v>
      </c>
      <c r="I251" s="9">
        <v>2015</v>
      </c>
      <c r="J251" s="14">
        <v>23.1</v>
      </c>
      <c r="K251" s="15">
        <v>77</v>
      </c>
    </row>
    <row r="252" spans="1:11" x14ac:dyDescent="0.25">
      <c r="A252" s="2" t="s">
        <v>302</v>
      </c>
      <c r="B252" s="2" t="s">
        <v>76</v>
      </c>
      <c r="C252" s="2" t="s">
        <v>34</v>
      </c>
      <c r="D252" s="2" t="s">
        <v>31</v>
      </c>
      <c r="E252" s="12">
        <v>2.8</v>
      </c>
      <c r="F252" s="4">
        <v>44191</v>
      </c>
      <c r="G252" s="5">
        <v>2020</v>
      </c>
      <c r="H252" s="3" t="s">
        <v>20</v>
      </c>
      <c r="I252" s="5">
        <v>2020</v>
      </c>
      <c r="J252" s="12">
        <v>12.1</v>
      </c>
      <c r="K252" s="13">
        <v>36</v>
      </c>
    </row>
    <row r="253" spans="1:11" x14ac:dyDescent="0.25">
      <c r="A253" s="6" t="s">
        <v>303</v>
      </c>
      <c r="B253" s="6" t="s">
        <v>33</v>
      </c>
      <c r="C253" s="6" t="s">
        <v>71</v>
      </c>
      <c r="D253" s="6" t="s">
        <v>35</v>
      </c>
      <c r="E253" s="14">
        <v>227</v>
      </c>
      <c r="F253" s="8">
        <v>44199</v>
      </c>
      <c r="G253" s="9">
        <v>2021</v>
      </c>
      <c r="H253" s="7" t="s">
        <v>20</v>
      </c>
      <c r="I253" s="9">
        <v>2015</v>
      </c>
      <c r="J253" s="14">
        <v>2092.5</v>
      </c>
      <c r="K253" s="15">
        <v>3912</v>
      </c>
    </row>
    <row r="254" spans="1:11" x14ac:dyDescent="0.25">
      <c r="A254" s="2" t="s">
        <v>304</v>
      </c>
      <c r="B254" s="2" t="s">
        <v>33</v>
      </c>
      <c r="C254" s="2" t="s">
        <v>18</v>
      </c>
      <c r="D254" s="2" t="s">
        <v>26</v>
      </c>
      <c r="E254" s="12">
        <v>20</v>
      </c>
      <c r="F254" s="4">
        <v>44212</v>
      </c>
      <c r="G254" s="5">
        <v>2021</v>
      </c>
      <c r="H254" s="3" t="s">
        <v>37</v>
      </c>
      <c r="I254" s="5">
        <v>2016</v>
      </c>
      <c r="J254" s="12">
        <v>95.4</v>
      </c>
      <c r="K254" s="13">
        <v>177</v>
      </c>
    </row>
    <row r="255" spans="1:11" x14ac:dyDescent="0.25">
      <c r="A255" s="6" t="s">
        <v>305</v>
      </c>
      <c r="B255" s="6" t="s">
        <v>12</v>
      </c>
      <c r="C255" s="6" t="s">
        <v>18</v>
      </c>
      <c r="D255" s="6" t="s">
        <v>31</v>
      </c>
      <c r="E255" s="14">
        <v>1.1000000000000001</v>
      </c>
      <c r="F255" s="8">
        <v>44213</v>
      </c>
      <c r="G255" s="9">
        <v>2021</v>
      </c>
      <c r="H255" s="7" t="s">
        <v>15</v>
      </c>
      <c r="I255" s="9">
        <v>2014</v>
      </c>
      <c r="J255" s="14">
        <v>5.2</v>
      </c>
      <c r="K255" s="15">
        <v>11</v>
      </c>
    </row>
    <row r="256" spans="1:11" x14ac:dyDescent="0.25">
      <c r="A256" s="2" t="s">
        <v>306</v>
      </c>
      <c r="B256" s="2" t="s">
        <v>29</v>
      </c>
      <c r="C256" s="2" t="s">
        <v>25</v>
      </c>
      <c r="D256" s="2" t="s">
        <v>31</v>
      </c>
      <c r="E256" s="12">
        <v>4.2</v>
      </c>
      <c r="F256" s="4">
        <v>44213</v>
      </c>
      <c r="G256" s="5">
        <v>2021</v>
      </c>
      <c r="H256" s="3" t="s">
        <v>123</v>
      </c>
      <c r="I256" s="5">
        <v>2012</v>
      </c>
      <c r="J256" s="12">
        <v>31.9</v>
      </c>
      <c r="K256" s="13">
        <v>95</v>
      </c>
    </row>
    <row r="257" spans="1:11" x14ac:dyDescent="0.25">
      <c r="A257" s="6" t="s">
        <v>307</v>
      </c>
      <c r="B257" s="6" t="s">
        <v>12</v>
      </c>
      <c r="C257" s="6" t="s">
        <v>40</v>
      </c>
      <c r="D257" s="6" t="s">
        <v>19</v>
      </c>
      <c r="E257" s="14">
        <v>63.2</v>
      </c>
      <c r="F257" s="8">
        <v>44215</v>
      </c>
      <c r="G257" s="9">
        <v>2021</v>
      </c>
      <c r="H257" s="7" t="s">
        <v>53</v>
      </c>
      <c r="I257" s="9">
        <v>2012</v>
      </c>
      <c r="J257" s="14">
        <v>539.29999999999995</v>
      </c>
      <c r="K257" s="15">
        <v>1804</v>
      </c>
    </row>
    <row r="258" spans="1:11" x14ac:dyDescent="0.25">
      <c r="A258" s="2" t="s">
        <v>308</v>
      </c>
      <c r="B258" s="2" t="s">
        <v>104</v>
      </c>
      <c r="C258" s="2" t="s">
        <v>34</v>
      </c>
      <c r="D258" s="2" t="s">
        <v>14</v>
      </c>
      <c r="E258" s="12">
        <v>14.4</v>
      </c>
      <c r="F258" s="4">
        <v>44218</v>
      </c>
      <c r="G258" s="5">
        <v>2021</v>
      </c>
      <c r="H258" s="3" t="s">
        <v>27</v>
      </c>
      <c r="I258" s="5">
        <v>2018</v>
      </c>
      <c r="J258" s="12">
        <v>83.7</v>
      </c>
      <c r="K258" s="13">
        <v>320</v>
      </c>
    </row>
    <row r="259" spans="1:11" x14ac:dyDescent="0.25">
      <c r="A259" s="6" t="s">
        <v>309</v>
      </c>
      <c r="B259" s="6" t="s">
        <v>39</v>
      </c>
      <c r="C259" s="6" t="s">
        <v>18</v>
      </c>
      <c r="D259" s="6" t="s">
        <v>31</v>
      </c>
      <c r="E259" s="14">
        <v>4.5</v>
      </c>
      <c r="F259" s="8">
        <v>44225</v>
      </c>
      <c r="G259" s="9">
        <v>2021</v>
      </c>
      <c r="H259" s="7" t="s">
        <v>65</v>
      </c>
      <c r="I259" s="9">
        <v>2014</v>
      </c>
      <c r="J259" s="14">
        <v>34.6</v>
      </c>
      <c r="K259" s="15">
        <v>117</v>
      </c>
    </row>
    <row r="260" spans="1:11" x14ac:dyDescent="0.25">
      <c r="A260" s="2" t="s">
        <v>310</v>
      </c>
      <c r="B260" s="2" t="s">
        <v>17</v>
      </c>
      <c r="C260" s="2" t="s">
        <v>48</v>
      </c>
      <c r="D260" s="2" t="s">
        <v>31</v>
      </c>
      <c r="E260" s="12">
        <v>2.7</v>
      </c>
      <c r="F260" s="4">
        <v>44226</v>
      </c>
      <c r="G260" s="5">
        <v>2021</v>
      </c>
      <c r="H260" s="3" t="s">
        <v>37</v>
      </c>
      <c r="I260" s="5">
        <v>2015</v>
      </c>
      <c r="J260" s="12">
        <v>13.7</v>
      </c>
      <c r="K260" s="13">
        <v>51</v>
      </c>
    </row>
    <row r="261" spans="1:11" x14ac:dyDescent="0.25">
      <c r="A261" s="6" t="s">
        <v>311</v>
      </c>
      <c r="B261" s="6" t="s">
        <v>39</v>
      </c>
      <c r="C261" s="6" t="s">
        <v>13</v>
      </c>
      <c r="D261" s="6" t="s">
        <v>35</v>
      </c>
      <c r="E261" s="14">
        <v>157.9</v>
      </c>
      <c r="F261" s="8">
        <v>44235</v>
      </c>
      <c r="G261" s="9">
        <v>2021</v>
      </c>
      <c r="H261" s="7" t="s">
        <v>23</v>
      </c>
      <c r="I261" s="9">
        <v>2020</v>
      </c>
      <c r="J261" s="14">
        <v>1238.2</v>
      </c>
      <c r="K261" s="15">
        <v>4557</v>
      </c>
    </row>
    <row r="262" spans="1:11" x14ac:dyDescent="0.25">
      <c r="A262" s="2" t="s">
        <v>312</v>
      </c>
      <c r="B262" s="2" t="s">
        <v>17</v>
      </c>
      <c r="C262" s="2" t="s">
        <v>13</v>
      </c>
      <c r="D262" s="2" t="s">
        <v>31</v>
      </c>
      <c r="E262" s="12">
        <v>1.3</v>
      </c>
      <c r="F262" s="4">
        <v>44237</v>
      </c>
      <c r="G262" s="5">
        <v>2021</v>
      </c>
      <c r="H262" s="3" t="s">
        <v>65</v>
      </c>
      <c r="I262" s="5">
        <v>2017</v>
      </c>
      <c r="J262" s="12">
        <v>5.9</v>
      </c>
      <c r="K262" s="13">
        <v>12</v>
      </c>
    </row>
    <row r="263" spans="1:11" x14ac:dyDescent="0.25">
      <c r="A263" s="6" t="s">
        <v>313</v>
      </c>
      <c r="B263" s="6" t="s">
        <v>22</v>
      </c>
      <c r="C263" s="6" t="s">
        <v>34</v>
      </c>
      <c r="D263" s="6" t="s">
        <v>19</v>
      </c>
      <c r="E263" s="14">
        <v>95.2</v>
      </c>
      <c r="F263" s="8">
        <v>44237</v>
      </c>
      <c r="G263" s="9">
        <v>2021</v>
      </c>
      <c r="H263" s="7" t="s">
        <v>123</v>
      </c>
      <c r="I263" s="9">
        <v>2021</v>
      </c>
      <c r="J263" s="14">
        <v>497.7</v>
      </c>
      <c r="K263" s="15">
        <v>1111</v>
      </c>
    </row>
    <row r="264" spans="1:11" x14ac:dyDescent="0.25">
      <c r="A264" s="2" t="s">
        <v>314</v>
      </c>
      <c r="B264" s="2" t="s">
        <v>17</v>
      </c>
      <c r="C264" s="2" t="s">
        <v>25</v>
      </c>
      <c r="D264" s="2" t="s">
        <v>14</v>
      </c>
      <c r="E264" s="12">
        <v>9.6</v>
      </c>
      <c r="F264" s="4">
        <v>44240</v>
      </c>
      <c r="G264" s="5">
        <v>2021</v>
      </c>
      <c r="H264" s="3" t="s">
        <v>37</v>
      </c>
      <c r="I264" s="5">
        <v>2015</v>
      </c>
      <c r="J264" s="12">
        <v>41.9</v>
      </c>
      <c r="K264" s="13">
        <v>81</v>
      </c>
    </row>
    <row r="265" spans="1:11" x14ac:dyDescent="0.25">
      <c r="A265" s="6" t="s">
        <v>315</v>
      </c>
      <c r="B265" s="6" t="s">
        <v>100</v>
      </c>
      <c r="C265" s="6" t="s">
        <v>13</v>
      </c>
      <c r="D265" s="6" t="s">
        <v>35</v>
      </c>
      <c r="E265" s="14">
        <v>121.5</v>
      </c>
      <c r="F265" s="8">
        <v>44243</v>
      </c>
      <c r="G265" s="9">
        <v>2021</v>
      </c>
      <c r="H265" s="7" t="s">
        <v>27</v>
      </c>
      <c r="I265" s="9">
        <v>2021</v>
      </c>
      <c r="J265" s="14">
        <v>1070.0999999999999</v>
      </c>
      <c r="K265" s="15">
        <v>2616</v>
      </c>
    </row>
    <row r="266" spans="1:11" x14ac:dyDescent="0.25">
      <c r="A266" s="2" t="s">
        <v>316</v>
      </c>
      <c r="B266" s="2" t="s">
        <v>42</v>
      </c>
      <c r="C266" s="2" t="s">
        <v>13</v>
      </c>
      <c r="D266" s="2" t="s">
        <v>14</v>
      </c>
      <c r="E266" s="12">
        <v>9.1999999999999993</v>
      </c>
      <c r="F266" s="4">
        <v>44245</v>
      </c>
      <c r="G266" s="5">
        <v>2021</v>
      </c>
      <c r="H266" s="3" t="s">
        <v>55</v>
      </c>
      <c r="I266" s="5">
        <v>2014</v>
      </c>
      <c r="J266" s="12">
        <v>64.5</v>
      </c>
      <c r="K266" s="13">
        <v>245</v>
      </c>
    </row>
    <row r="267" spans="1:11" x14ac:dyDescent="0.25">
      <c r="A267" s="6" t="s">
        <v>317</v>
      </c>
      <c r="B267" s="6" t="s">
        <v>29</v>
      </c>
      <c r="C267" s="6" t="s">
        <v>18</v>
      </c>
      <c r="D267" s="6" t="s">
        <v>31</v>
      </c>
      <c r="E267" s="14">
        <v>1.7</v>
      </c>
      <c r="F267" s="8">
        <v>44247</v>
      </c>
      <c r="G267" s="9">
        <v>2021</v>
      </c>
      <c r="H267" s="7" t="s">
        <v>65</v>
      </c>
      <c r="I267" s="9">
        <v>2013</v>
      </c>
      <c r="J267" s="14">
        <v>9.6</v>
      </c>
      <c r="K267" s="15">
        <v>25</v>
      </c>
    </row>
    <row r="268" spans="1:11" x14ac:dyDescent="0.25">
      <c r="A268" s="2" t="s">
        <v>318</v>
      </c>
      <c r="B268" s="2" t="s">
        <v>22</v>
      </c>
      <c r="C268" s="2" t="s">
        <v>18</v>
      </c>
      <c r="D268" s="2" t="s">
        <v>31</v>
      </c>
      <c r="E268" s="12">
        <v>3.5</v>
      </c>
      <c r="F268" s="4">
        <v>44250</v>
      </c>
      <c r="G268" s="5">
        <v>2021</v>
      </c>
      <c r="H268" s="3" t="s">
        <v>45</v>
      </c>
      <c r="I268" s="5">
        <v>2021</v>
      </c>
      <c r="J268" s="12">
        <v>21.7</v>
      </c>
      <c r="K268" s="13">
        <v>68</v>
      </c>
    </row>
    <row r="269" spans="1:11" x14ac:dyDescent="0.25">
      <c r="A269" s="6" t="s">
        <v>319</v>
      </c>
      <c r="B269" s="6" t="s">
        <v>29</v>
      </c>
      <c r="C269" s="6" t="s">
        <v>25</v>
      </c>
      <c r="D269" s="6" t="s">
        <v>14</v>
      </c>
      <c r="E269" s="14">
        <v>8.1</v>
      </c>
      <c r="F269" s="8">
        <v>44253</v>
      </c>
      <c r="G269" s="9">
        <v>2021</v>
      </c>
      <c r="H269" s="7" t="s">
        <v>45</v>
      </c>
      <c r="I269" s="9">
        <v>2015</v>
      </c>
      <c r="J269" s="14">
        <v>43.8</v>
      </c>
      <c r="K269" s="15">
        <v>173</v>
      </c>
    </row>
    <row r="270" spans="1:11" x14ac:dyDescent="0.25">
      <c r="A270" s="2" t="s">
        <v>320</v>
      </c>
      <c r="B270" s="2" t="s">
        <v>47</v>
      </c>
      <c r="C270" s="2" t="s">
        <v>48</v>
      </c>
      <c r="D270" s="2" t="s">
        <v>14</v>
      </c>
      <c r="E270" s="12">
        <v>14.6</v>
      </c>
      <c r="F270" s="4">
        <v>44255</v>
      </c>
      <c r="G270" s="5">
        <v>2021</v>
      </c>
      <c r="H270" s="3" t="s">
        <v>50</v>
      </c>
      <c r="I270" s="5">
        <v>2020</v>
      </c>
      <c r="J270" s="12">
        <v>112.3</v>
      </c>
      <c r="K270" s="13">
        <v>225</v>
      </c>
    </row>
    <row r="271" spans="1:11" x14ac:dyDescent="0.25">
      <c r="A271" s="6" t="s">
        <v>321</v>
      </c>
      <c r="B271" s="6" t="s">
        <v>67</v>
      </c>
      <c r="C271" s="6" t="s">
        <v>71</v>
      </c>
      <c r="D271" s="6" t="s">
        <v>14</v>
      </c>
      <c r="E271" s="14">
        <v>4.9000000000000004</v>
      </c>
      <c r="F271" s="8">
        <v>44257</v>
      </c>
      <c r="G271" s="9">
        <v>2021</v>
      </c>
      <c r="H271" s="7" t="s">
        <v>50</v>
      </c>
      <c r="I271" s="9">
        <v>2019</v>
      </c>
      <c r="J271" s="14">
        <v>31.3</v>
      </c>
      <c r="K271" s="15">
        <v>103</v>
      </c>
    </row>
    <row r="272" spans="1:11" x14ac:dyDescent="0.25">
      <c r="A272" s="2" t="s">
        <v>322</v>
      </c>
      <c r="B272" s="2" t="s">
        <v>33</v>
      </c>
      <c r="C272" s="2" t="s">
        <v>25</v>
      </c>
      <c r="D272" s="2" t="s">
        <v>26</v>
      </c>
      <c r="E272" s="12">
        <v>30.2</v>
      </c>
      <c r="F272" s="4">
        <v>44257</v>
      </c>
      <c r="G272" s="5">
        <v>2021</v>
      </c>
      <c r="H272" s="3" t="s">
        <v>20</v>
      </c>
      <c r="I272" s="5">
        <v>2021</v>
      </c>
      <c r="J272" s="12">
        <v>202.6</v>
      </c>
      <c r="K272" s="13">
        <v>304</v>
      </c>
    </row>
    <row r="273" spans="1:11" x14ac:dyDescent="0.25">
      <c r="A273" s="6" t="s">
        <v>323</v>
      </c>
      <c r="B273" s="6" t="s">
        <v>33</v>
      </c>
      <c r="C273" s="6" t="s">
        <v>48</v>
      </c>
      <c r="D273" s="6" t="s">
        <v>35</v>
      </c>
      <c r="E273" s="14">
        <v>276.2</v>
      </c>
      <c r="F273" s="8">
        <v>44259</v>
      </c>
      <c r="G273" s="9">
        <v>2021</v>
      </c>
      <c r="H273" s="7" t="s">
        <v>43</v>
      </c>
      <c r="I273" s="9">
        <v>2014</v>
      </c>
      <c r="J273" s="14">
        <v>3061.6</v>
      </c>
      <c r="K273" s="15">
        <v>8357</v>
      </c>
    </row>
    <row r="274" spans="1:11" x14ac:dyDescent="0.25">
      <c r="A274" s="2" t="s">
        <v>324</v>
      </c>
      <c r="B274" s="2" t="s">
        <v>39</v>
      </c>
      <c r="C274" s="2" t="s">
        <v>18</v>
      </c>
      <c r="D274" s="2" t="s">
        <v>31</v>
      </c>
      <c r="E274" s="12">
        <v>3.4</v>
      </c>
      <c r="F274" s="4">
        <v>44261</v>
      </c>
      <c r="G274" s="5">
        <v>2021</v>
      </c>
      <c r="H274" s="3" t="s">
        <v>50</v>
      </c>
      <c r="I274" s="5">
        <v>2013</v>
      </c>
      <c r="J274" s="12">
        <v>21.1</v>
      </c>
      <c r="K274" s="13">
        <v>77</v>
      </c>
    </row>
    <row r="275" spans="1:11" x14ac:dyDescent="0.25">
      <c r="A275" s="6" t="s">
        <v>325</v>
      </c>
      <c r="B275" s="6" t="s">
        <v>29</v>
      </c>
      <c r="C275" s="6" t="s">
        <v>18</v>
      </c>
      <c r="D275" s="6" t="s">
        <v>31</v>
      </c>
      <c r="E275" s="14">
        <v>3.2</v>
      </c>
      <c r="F275" s="8">
        <v>44271</v>
      </c>
      <c r="G275" s="9">
        <v>2021</v>
      </c>
      <c r="H275" s="7" t="s">
        <v>50</v>
      </c>
      <c r="I275" s="9">
        <v>2021</v>
      </c>
      <c r="J275" s="14">
        <v>14.8</v>
      </c>
      <c r="K275" s="15">
        <v>25</v>
      </c>
    </row>
    <row r="276" spans="1:11" x14ac:dyDescent="0.25">
      <c r="A276" s="2" t="s">
        <v>326</v>
      </c>
      <c r="B276" s="2" t="s">
        <v>42</v>
      </c>
      <c r="C276" s="2" t="s">
        <v>13</v>
      </c>
      <c r="D276" s="2" t="s">
        <v>26</v>
      </c>
      <c r="E276" s="12">
        <v>49.4</v>
      </c>
      <c r="F276" s="4">
        <v>44278</v>
      </c>
      <c r="G276" s="5">
        <v>2021</v>
      </c>
      <c r="H276" s="3" t="s">
        <v>37</v>
      </c>
      <c r="I276" s="5">
        <v>2013</v>
      </c>
      <c r="J276" s="12">
        <v>306.2</v>
      </c>
      <c r="K276" s="13">
        <v>713</v>
      </c>
    </row>
    <row r="277" spans="1:11" x14ac:dyDescent="0.25">
      <c r="A277" s="6" t="s">
        <v>327</v>
      </c>
      <c r="B277" s="6" t="s">
        <v>39</v>
      </c>
      <c r="C277" s="6" t="s">
        <v>13</v>
      </c>
      <c r="D277" s="6" t="s">
        <v>31</v>
      </c>
      <c r="E277" s="14">
        <v>2.8</v>
      </c>
      <c r="F277" s="8">
        <v>44286</v>
      </c>
      <c r="G277" s="9">
        <v>2021</v>
      </c>
      <c r="H277" s="7" t="s">
        <v>15</v>
      </c>
      <c r="I277" s="9">
        <v>2015</v>
      </c>
      <c r="J277" s="14">
        <v>16.399999999999999</v>
      </c>
      <c r="K277" s="15">
        <v>26</v>
      </c>
    </row>
    <row r="278" spans="1:11" x14ac:dyDescent="0.25">
      <c r="A278" s="2" t="s">
        <v>328</v>
      </c>
      <c r="B278" s="2" t="s">
        <v>22</v>
      </c>
      <c r="C278" s="2" t="s">
        <v>34</v>
      </c>
      <c r="D278" s="2" t="s">
        <v>19</v>
      </c>
      <c r="E278" s="12">
        <v>83.2</v>
      </c>
      <c r="F278" s="4">
        <v>44288</v>
      </c>
      <c r="G278" s="5">
        <v>2021</v>
      </c>
      <c r="H278" s="3" t="s">
        <v>15</v>
      </c>
      <c r="I278" s="5">
        <v>2012</v>
      </c>
      <c r="J278" s="12">
        <v>605.79999999999995</v>
      </c>
      <c r="K278" s="13">
        <v>996</v>
      </c>
    </row>
    <row r="279" spans="1:11" x14ac:dyDescent="0.25">
      <c r="A279" s="6" t="s">
        <v>329</v>
      </c>
      <c r="B279" s="6" t="s">
        <v>104</v>
      </c>
      <c r="C279" s="6" t="s">
        <v>34</v>
      </c>
      <c r="D279" s="6" t="s">
        <v>31</v>
      </c>
      <c r="E279" s="14">
        <v>2.6</v>
      </c>
      <c r="F279" s="8">
        <v>44293</v>
      </c>
      <c r="G279" s="9">
        <v>2021</v>
      </c>
      <c r="H279" s="7" t="s">
        <v>45</v>
      </c>
      <c r="I279" s="9">
        <v>2016</v>
      </c>
      <c r="J279" s="14">
        <v>21.6</v>
      </c>
      <c r="K279" s="15">
        <v>85</v>
      </c>
    </row>
    <row r="280" spans="1:11" x14ac:dyDescent="0.25">
      <c r="A280" s="2" t="s">
        <v>330</v>
      </c>
      <c r="B280" s="2" t="s">
        <v>17</v>
      </c>
      <c r="C280" s="2" t="s">
        <v>13</v>
      </c>
      <c r="D280" s="2" t="s">
        <v>14</v>
      </c>
      <c r="E280" s="12">
        <v>9.9</v>
      </c>
      <c r="F280" s="4">
        <v>44293</v>
      </c>
      <c r="G280" s="5">
        <v>2021</v>
      </c>
      <c r="H280" s="3" t="s">
        <v>55</v>
      </c>
      <c r="I280" s="5">
        <v>2014</v>
      </c>
      <c r="J280" s="12">
        <v>37</v>
      </c>
      <c r="K280" s="13">
        <v>105</v>
      </c>
    </row>
    <row r="281" spans="1:11" x14ac:dyDescent="0.25">
      <c r="A281" s="6" t="s">
        <v>331</v>
      </c>
      <c r="B281" s="6" t="s">
        <v>22</v>
      </c>
      <c r="C281" s="6" t="s">
        <v>34</v>
      </c>
      <c r="D281" s="6" t="s">
        <v>14</v>
      </c>
      <c r="E281" s="14">
        <v>12.3</v>
      </c>
      <c r="F281" s="8">
        <v>44295</v>
      </c>
      <c r="G281" s="9">
        <v>2021</v>
      </c>
      <c r="H281" s="7" t="s">
        <v>27</v>
      </c>
      <c r="I281" s="9">
        <v>2015</v>
      </c>
      <c r="J281" s="14">
        <v>61.6</v>
      </c>
      <c r="K281" s="15">
        <v>94</v>
      </c>
    </row>
    <row r="282" spans="1:11" x14ac:dyDescent="0.25">
      <c r="A282" s="2" t="s">
        <v>332</v>
      </c>
      <c r="B282" s="2" t="s">
        <v>17</v>
      </c>
      <c r="C282" s="2" t="s">
        <v>34</v>
      </c>
      <c r="D282" s="2" t="s">
        <v>26</v>
      </c>
      <c r="E282" s="12">
        <v>33.4</v>
      </c>
      <c r="F282" s="4">
        <v>44304</v>
      </c>
      <c r="G282" s="5">
        <v>2021</v>
      </c>
      <c r="H282" s="3" t="s">
        <v>27</v>
      </c>
      <c r="I282" s="5">
        <v>2016</v>
      </c>
      <c r="J282" s="12">
        <v>266.5</v>
      </c>
      <c r="K282" s="13">
        <v>998</v>
      </c>
    </row>
    <row r="283" spans="1:11" x14ac:dyDescent="0.25">
      <c r="A283" s="6" t="s">
        <v>333</v>
      </c>
      <c r="B283" s="6" t="s">
        <v>76</v>
      </c>
      <c r="C283" s="6" t="s">
        <v>18</v>
      </c>
      <c r="D283" s="6" t="s">
        <v>26</v>
      </c>
      <c r="E283" s="14">
        <v>50.8</v>
      </c>
      <c r="F283" s="8">
        <v>44309</v>
      </c>
      <c r="G283" s="9">
        <v>2021</v>
      </c>
      <c r="H283" s="7" t="s">
        <v>58</v>
      </c>
      <c r="I283" s="9">
        <v>2016</v>
      </c>
      <c r="J283" s="14">
        <v>300.10000000000002</v>
      </c>
      <c r="K283" s="15">
        <v>898</v>
      </c>
    </row>
    <row r="284" spans="1:11" x14ac:dyDescent="0.25">
      <c r="A284" s="2" t="s">
        <v>334</v>
      </c>
      <c r="B284" s="2" t="s">
        <v>29</v>
      </c>
      <c r="C284" s="2" t="s">
        <v>34</v>
      </c>
      <c r="D284" s="2" t="s">
        <v>35</v>
      </c>
      <c r="E284" s="12">
        <v>248.1</v>
      </c>
      <c r="F284" s="4">
        <v>44317</v>
      </c>
      <c r="G284" s="5">
        <v>2021</v>
      </c>
      <c r="H284" s="3" t="s">
        <v>55</v>
      </c>
      <c r="I284" s="5">
        <v>2021</v>
      </c>
      <c r="J284" s="12">
        <v>1803.7</v>
      </c>
      <c r="K284" s="13">
        <v>5566</v>
      </c>
    </row>
    <row r="285" spans="1:11" x14ac:dyDescent="0.25">
      <c r="A285" s="6" t="s">
        <v>335</v>
      </c>
      <c r="B285" s="6" t="s">
        <v>42</v>
      </c>
      <c r="C285" s="6" t="s">
        <v>18</v>
      </c>
      <c r="D285" s="6" t="s">
        <v>26</v>
      </c>
      <c r="E285" s="14">
        <v>14.3</v>
      </c>
      <c r="F285" s="8">
        <v>44321</v>
      </c>
      <c r="G285" s="9">
        <v>2021</v>
      </c>
      <c r="H285" s="7" t="s">
        <v>27</v>
      </c>
      <c r="I285" s="9">
        <v>2019</v>
      </c>
      <c r="J285" s="14">
        <v>60.5</v>
      </c>
      <c r="K285" s="15">
        <v>142</v>
      </c>
    </row>
    <row r="286" spans="1:11" x14ac:dyDescent="0.25">
      <c r="A286" s="2" t="s">
        <v>336</v>
      </c>
      <c r="B286" s="2" t="s">
        <v>47</v>
      </c>
      <c r="C286" s="2" t="s">
        <v>18</v>
      </c>
      <c r="D286" s="2" t="s">
        <v>26</v>
      </c>
      <c r="E286" s="12">
        <v>35.299999999999997</v>
      </c>
      <c r="F286" s="4">
        <v>44324</v>
      </c>
      <c r="G286" s="5">
        <v>2021</v>
      </c>
      <c r="H286" s="3" t="s">
        <v>15</v>
      </c>
      <c r="I286" s="5">
        <v>2014</v>
      </c>
      <c r="J286" s="12">
        <v>156.80000000000001</v>
      </c>
      <c r="K286" s="13">
        <v>496</v>
      </c>
    </row>
    <row r="287" spans="1:11" x14ac:dyDescent="0.25">
      <c r="A287" s="6" t="s">
        <v>337</v>
      </c>
      <c r="B287" s="6" t="s">
        <v>17</v>
      </c>
      <c r="C287" s="6" t="s">
        <v>34</v>
      </c>
      <c r="D287" s="6" t="s">
        <v>35</v>
      </c>
      <c r="E287" s="14">
        <v>152.5</v>
      </c>
      <c r="F287" s="8">
        <v>44325</v>
      </c>
      <c r="G287" s="9">
        <v>2021</v>
      </c>
      <c r="H287" s="7" t="s">
        <v>58</v>
      </c>
      <c r="I287" s="9">
        <v>2017</v>
      </c>
      <c r="J287" s="14">
        <v>791.6</v>
      </c>
      <c r="K287" s="15">
        <v>2719</v>
      </c>
    </row>
    <row r="288" spans="1:11" x14ac:dyDescent="0.25">
      <c r="A288" s="2" t="s">
        <v>338</v>
      </c>
      <c r="B288" s="2" t="s">
        <v>29</v>
      </c>
      <c r="C288" s="2" t="s">
        <v>18</v>
      </c>
      <c r="D288" s="2" t="s">
        <v>14</v>
      </c>
      <c r="E288" s="12">
        <v>15.9</v>
      </c>
      <c r="F288" s="4">
        <v>44330</v>
      </c>
      <c r="G288" s="5">
        <v>2021</v>
      </c>
      <c r="H288" s="3" t="s">
        <v>123</v>
      </c>
      <c r="I288" s="5">
        <v>2012</v>
      </c>
      <c r="J288" s="12">
        <v>95.7</v>
      </c>
      <c r="K288" s="13">
        <v>253</v>
      </c>
    </row>
    <row r="289" spans="1:11" x14ac:dyDescent="0.25">
      <c r="A289" s="6" t="s">
        <v>339</v>
      </c>
      <c r="B289" s="6" t="s">
        <v>42</v>
      </c>
      <c r="C289" s="6" t="s">
        <v>40</v>
      </c>
      <c r="D289" s="6" t="s">
        <v>26</v>
      </c>
      <c r="E289" s="14">
        <v>37.4</v>
      </c>
      <c r="F289" s="8">
        <v>44335</v>
      </c>
      <c r="G289" s="9">
        <v>2021</v>
      </c>
      <c r="H289" s="7" t="s">
        <v>50</v>
      </c>
      <c r="I289" s="9">
        <v>2015</v>
      </c>
      <c r="J289" s="14">
        <v>179.3</v>
      </c>
      <c r="K289" s="15">
        <v>675</v>
      </c>
    </row>
    <row r="290" spans="1:11" x14ac:dyDescent="0.25">
      <c r="A290" s="2" t="s">
        <v>340</v>
      </c>
      <c r="B290" s="2" t="s">
        <v>17</v>
      </c>
      <c r="C290" s="2" t="s">
        <v>18</v>
      </c>
      <c r="D290" s="2" t="s">
        <v>26</v>
      </c>
      <c r="E290" s="12">
        <v>39.700000000000003</v>
      </c>
      <c r="F290" s="4">
        <v>44338</v>
      </c>
      <c r="G290" s="5">
        <v>2021</v>
      </c>
      <c r="H290" s="3" t="s">
        <v>20</v>
      </c>
      <c r="I290" s="5">
        <v>2015</v>
      </c>
      <c r="J290" s="12">
        <v>194.2</v>
      </c>
      <c r="K290" s="13">
        <v>465</v>
      </c>
    </row>
    <row r="291" spans="1:11" x14ac:dyDescent="0.25">
      <c r="A291" s="6" t="s">
        <v>341</v>
      </c>
      <c r="B291" s="6" t="s">
        <v>67</v>
      </c>
      <c r="C291" s="6" t="s">
        <v>63</v>
      </c>
      <c r="D291" s="6" t="s">
        <v>31</v>
      </c>
      <c r="E291" s="14">
        <v>0.6</v>
      </c>
      <c r="F291" s="8">
        <v>44342</v>
      </c>
      <c r="G291" s="9">
        <v>2021</v>
      </c>
      <c r="H291" s="7" t="s">
        <v>53</v>
      </c>
      <c r="I291" s="9">
        <v>2020</v>
      </c>
      <c r="J291" s="14">
        <v>3.8</v>
      </c>
      <c r="K291" s="15">
        <v>15</v>
      </c>
    </row>
    <row r="292" spans="1:11" x14ac:dyDescent="0.25">
      <c r="A292" s="2" t="s">
        <v>342</v>
      </c>
      <c r="B292" s="2" t="s">
        <v>76</v>
      </c>
      <c r="C292" s="2" t="s">
        <v>13</v>
      </c>
      <c r="D292" s="2" t="s">
        <v>35</v>
      </c>
      <c r="E292" s="12">
        <v>234.6</v>
      </c>
      <c r="F292" s="4">
        <v>44345</v>
      </c>
      <c r="G292" s="5">
        <v>2021</v>
      </c>
      <c r="H292" s="3" t="s">
        <v>37</v>
      </c>
      <c r="I292" s="5">
        <v>2017</v>
      </c>
      <c r="J292" s="12">
        <v>1942.6</v>
      </c>
      <c r="K292" s="13">
        <v>3498</v>
      </c>
    </row>
    <row r="293" spans="1:11" x14ac:dyDescent="0.25">
      <c r="A293" s="6" t="s">
        <v>343</v>
      </c>
      <c r="B293" s="6" t="s">
        <v>33</v>
      </c>
      <c r="C293" s="6" t="s">
        <v>18</v>
      </c>
      <c r="D293" s="6" t="s">
        <v>26</v>
      </c>
      <c r="E293" s="14">
        <v>37.799999999999997</v>
      </c>
      <c r="F293" s="8">
        <v>44346</v>
      </c>
      <c r="G293" s="9">
        <v>2021</v>
      </c>
      <c r="H293" s="7" t="s">
        <v>20</v>
      </c>
      <c r="I293" s="9">
        <v>2021</v>
      </c>
      <c r="J293" s="14">
        <v>263.8</v>
      </c>
      <c r="K293" s="15">
        <v>510</v>
      </c>
    </row>
    <row r="294" spans="1:11" x14ac:dyDescent="0.25">
      <c r="A294" s="2" t="s">
        <v>344</v>
      </c>
      <c r="B294" s="2" t="s">
        <v>76</v>
      </c>
      <c r="C294" s="2" t="s">
        <v>13</v>
      </c>
      <c r="D294" s="2" t="s">
        <v>14</v>
      </c>
      <c r="E294" s="12">
        <v>8</v>
      </c>
      <c r="F294" s="4">
        <v>44346</v>
      </c>
      <c r="G294" s="5">
        <v>2021</v>
      </c>
      <c r="H294" s="3" t="s">
        <v>58</v>
      </c>
      <c r="I294" s="5">
        <v>2016</v>
      </c>
      <c r="J294" s="12">
        <v>32.1</v>
      </c>
      <c r="K294" s="13">
        <v>89</v>
      </c>
    </row>
    <row r="295" spans="1:11" x14ac:dyDescent="0.25">
      <c r="A295" s="6" t="s">
        <v>345</v>
      </c>
      <c r="B295" s="6" t="s">
        <v>33</v>
      </c>
      <c r="C295" s="6" t="s">
        <v>13</v>
      </c>
      <c r="D295" s="6" t="s">
        <v>14</v>
      </c>
      <c r="E295" s="14">
        <v>12.5</v>
      </c>
      <c r="F295" s="8">
        <v>44357</v>
      </c>
      <c r="G295" s="9">
        <v>2021</v>
      </c>
      <c r="H295" s="7" t="s">
        <v>45</v>
      </c>
      <c r="I295" s="9">
        <v>2019</v>
      </c>
      <c r="J295" s="14">
        <v>60.1</v>
      </c>
      <c r="K295" s="15">
        <v>167</v>
      </c>
    </row>
    <row r="296" spans="1:11" x14ac:dyDescent="0.25">
      <c r="A296" s="2" t="s">
        <v>346</v>
      </c>
      <c r="B296" s="2" t="s">
        <v>22</v>
      </c>
      <c r="C296" s="2" t="s">
        <v>18</v>
      </c>
      <c r="D296" s="2" t="s">
        <v>14</v>
      </c>
      <c r="E296" s="12">
        <v>6.9</v>
      </c>
      <c r="F296" s="4">
        <v>44357</v>
      </c>
      <c r="G296" s="5">
        <v>2021</v>
      </c>
      <c r="H296" s="3" t="s">
        <v>107</v>
      </c>
      <c r="I296" s="5">
        <v>2015</v>
      </c>
      <c r="J296" s="12">
        <v>31.7</v>
      </c>
      <c r="K296" s="13">
        <v>108</v>
      </c>
    </row>
    <row r="297" spans="1:11" x14ac:dyDescent="0.25">
      <c r="A297" s="6" t="s">
        <v>347</v>
      </c>
      <c r="B297" s="6" t="s">
        <v>42</v>
      </c>
      <c r="C297" s="6" t="s">
        <v>63</v>
      </c>
      <c r="D297" s="6" t="s">
        <v>31</v>
      </c>
      <c r="E297" s="14">
        <v>3.4</v>
      </c>
      <c r="F297" s="8">
        <v>44360</v>
      </c>
      <c r="G297" s="9">
        <v>2021</v>
      </c>
      <c r="H297" s="7" t="s">
        <v>65</v>
      </c>
      <c r="I297" s="9">
        <v>2012</v>
      </c>
      <c r="J297" s="14">
        <v>22.7</v>
      </c>
      <c r="K297" s="15">
        <v>77</v>
      </c>
    </row>
    <row r="298" spans="1:11" x14ac:dyDescent="0.25">
      <c r="A298" s="2" t="s">
        <v>348</v>
      </c>
      <c r="B298" s="2" t="s">
        <v>17</v>
      </c>
      <c r="C298" s="2" t="s">
        <v>13</v>
      </c>
      <c r="D298" s="2" t="s">
        <v>26</v>
      </c>
      <c r="E298" s="12">
        <v>21.7</v>
      </c>
      <c r="F298" s="4">
        <v>44363</v>
      </c>
      <c r="G298" s="5">
        <v>2021</v>
      </c>
      <c r="H298" s="3" t="s">
        <v>107</v>
      </c>
      <c r="I298" s="5">
        <v>2018</v>
      </c>
      <c r="J298" s="12">
        <v>159.30000000000001</v>
      </c>
      <c r="K298" s="13">
        <v>334</v>
      </c>
    </row>
    <row r="299" spans="1:11" x14ac:dyDescent="0.25">
      <c r="A299" s="6" t="s">
        <v>349</v>
      </c>
      <c r="B299" s="6" t="s">
        <v>100</v>
      </c>
      <c r="C299" s="6" t="s">
        <v>34</v>
      </c>
      <c r="D299" s="6" t="s">
        <v>31</v>
      </c>
      <c r="E299" s="14">
        <v>1.3</v>
      </c>
      <c r="F299" s="8">
        <v>44374</v>
      </c>
      <c r="G299" s="9">
        <v>2021</v>
      </c>
      <c r="H299" s="7" t="s">
        <v>65</v>
      </c>
      <c r="I299" s="9">
        <v>2017</v>
      </c>
      <c r="J299" s="14">
        <v>5.6</v>
      </c>
      <c r="K299" s="15">
        <v>12</v>
      </c>
    </row>
    <row r="300" spans="1:11" x14ac:dyDescent="0.25">
      <c r="A300" s="2" t="s">
        <v>350</v>
      </c>
      <c r="B300" s="2" t="s">
        <v>22</v>
      </c>
      <c r="C300" s="2" t="s">
        <v>34</v>
      </c>
      <c r="D300" s="2" t="s">
        <v>31</v>
      </c>
      <c r="E300" s="12">
        <v>3</v>
      </c>
      <c r="F300" s="4">
        <v>44375</v>
      </c>
      <c r="G300" s="5">
        <v>2021</v>
      </c>
      <c r="H300" s="3" t="s">
        <v>37</v>
      </c>
      <c r="I300" s="5">
        <v>2021</v>
      </c>
      <c r="J300" s="12">
        <v>19.2</v>
      </c>
      <c r="K300" s="13">
        <v>69</v>
      </c>
    </row>
    <row r="301" spans="1:11" x14ac:dyDescent="0.25">
      <c r="A301" s="6" t="s">
        <v>351</v>
      </c>
      <c r="B301" s="6" t="s">
        <v>47</v>
      </c>
      <c r="C301" s="6" t="s">
        <v>18</v>
      </c>
      <c r="D301" s="6" t="s">
        <v>14</v>
      </c>
      <c r="E301" s="14">
        <v>10.4</v>
      </c>
      <c r="F301" s="8">
        <v>44376</v>
      </c>
      <c r="G301" s="9">
        <v>2021</v>
      </c>
      <c r="H301" s="7" t="s">
        <v>58</v>
      </c>
      <c r="I301" s="9">
        <v>2021</v>
      </c>
      <c r="J301" s="14">
        <v>73.900000000000006</v>
      </c>
      <c r="K301" s="15">
        <v>151</v>
      </c>
    </row>
    <row r="302" spans="1:11" x14ac:dyDescent="0.25">
      <c r="A302" s="2" t="s">
        <v>352</v>
      </c>
      <c r="B302" s="2" t="s">
        <v>29</v>
      </c>
      <c r="C302" s="2" t="s">
        <v>18</v>
      </c>
      <c r="D302" s="2" t="s">
        <v>14</v>
      </c>
      <c r="E302" s="12">
        <v>6.7</v>
      </c>
      <c r="F302" s="4">
        <v>44377</v>
      </c>
      <c r="G302" s="5">
        <v>2021</v>
      </c>
      <c r="H302" s="3" t="s">
        <v>20</v>
      </c>
      <c r="I302" s="5">
        <v>2012</v>
      </c>
      <c r="J302" s="12">
        <v>35.5</v>
      </c>
      <c r="K302" s="13">
        <v>114</v>
      </c>
    </row>
    <row r="303" spans="1:11" x14ac:dyDescent="0.25">
      <c r="A303" s="6" t="s">
        <v>353</v>
      </c>
      <c r="B303" s="6" t="s">
        <v>33</v>
      </c>
      <c r="C303" s="6" t="s">
        <v>25</v>
      </c>
      <c r="D303" s="6" t="s">
        <v>14</v>
      </c>
      <c r="E303" s="14">
        <v>14</v>
      </c>
      <c r="F303" s="8">
        <v>44378</v>
      </c>
      <c r="G303" s="9">
        <v>2021</v>
      </c>
      <c r="H303" s="7" t="s">
        <v>43</v>
      </c>
      <c r="I303" s="9">
        <v>2020</v>
      </c>
      <c r="J303" s="14">
        <v>83.1</v>
      </c>
      <c r="K303" s="15">
        <v>229</v>
      </c>
    </row>
    <row r="304" spans="1:11" x14ac:dyDescent="0.25">
      <c r="A304" s="2" t="s">
        <v>354</v>
      </c>
      <c r="B304" s="2" t="s">
        <v>33</v>
      </c>
      <c r="C304" s="2" t="s">
        <v>25</v>
      </c>
      <c r="D304" s="2" t="s">
        <v>19</v>
      </c>
      <c r="E304" s="12">
        <v>83.2</v>
      </c>
      <c r="F304" s="4">
        <v>44379</v>
      </c>
      <c r="G304" s="5">
        <v>2021</v>
      </c>
      <c r="H304" s="3" t="s">
        <v>27</v>
      </c>
      <c r="I304" s="5">
        <v>2014</v>
      </c>
      <c r="J304" s="12">
        <v>779.4</v>
      </c>
      <c r="K304" s="13">
        <v>1693</v>
      </c>
    </row>
    <row r="305" spans="1:11" x14ac:dyDescent="0.25">
      <c r="A305" s="6" t="s">
        <v>355</v>
      </c>
      <c r="B305" s="6" t="s">
        <v>22</v>
      </c>
      <c r="C305" s="6" t="s">
        <v>63</v>
      </c>
      <c r="D305" s="6" t="s">
        <v>31</v>
      </c>
      <c r="E305" s="14">
        <v>4.4000000000000004</v>
      </c>
      <c r="F305" s="8">
        <v>44379</v>
      </c>
      <c r="G305" s="9">
        <v>2021</v>
      </c>
      <c r="H305" s="7" t="s">
        <v>43</v>
      </c>
      <c r="I305" s="9">
        <v>2016</v>
      </c>
      <c r="J305" s="14">
        <v>18.8</v>
      </c>
      <c r="K305" s="15">
        <v>45</v>
      </c>
    </row>
    <row r="306" spans="1:11" x14ac:dyDescent="0.25">
      <c r="A306" s="2" t="s">
        <v>356</v>
      </c>
      <c r="B306" s="2" t="s">
        <v>33</v>
      </c>
      <c r="C306" s="2" t="s">
        <v>18</v>
      </c>
      <c r="D306" s="2" t="s">
        <v>35</v>
      </c>
      <c r="E306" s="12">
        <v>193.2</v>
      </c>
      <c r="F306" s="4">
        <v>44380</v>
      </c>
      <c r="G306" s="5">
        <v>2021</v>
      </c>
      <c r="H306" s="3" t="s">
        <v>55</v>
      </c>
      <c r="I306" s="5">
        <v>2012</v>
      </c>
      <c r="J306" s="12">
        <v>1025.5999999999999</v>
      </c>
      <c r="K306" s="13">
        <v>1576</v>
      </c>
    </row>
    <row r="307" spans="1:11" x14ac:dyDescent="0.25">
      <c r="A307" s="6" t="s">
        <v>357</v>
      </c>
      <c r="B307" s="6" t="s">
        <v>29</v>
      </c>
      <c r="C307" s="6" t="s">
        <v>25</v>
      </c>
      <c r="D307" s="6" t="s">
        <v>35</v>
      </c>
      <c r="E307" s="14">
        <v>141.69999999999999</v>
      </c>
      <c r="F307" s="8">
        <v>44383</v>
      </c>
      <c r="G307" s="9">
        <v>2021</v>
      </c>
      <c r="H307" s="7" t="s">
        <v>20</v>
      </c>
      <c r="I307" s="9">
        <v>2013</v>
      </c>
      <c r="J307" s="14">
        <v>938</v>
      </c>
      <c r="K307" s="15">
        <v>1822</v>
      </c>
    </row>
    <row r="308" spans="1:11" x14ac:dyDescent="0.25">
      <c r="A308" s="2" t="s">
        <v>358</v>
      </c>
      <c r="B308" s="2" t="s">
        <v>12</v>
      </c>
      <c r="C308" s="2" t="s">
        <v>18</v>
      </c>
      <c r="D308" s="2" t="s">
        <v>31</v>
      </c>
      <c r="E308" s="12">
        <v>1.2</v>
      </c>
      <c r="F308" s="4">
        <v>44387</v>
      </c>
      <c r="G308" s="5">
        <v>2021</v>
      </c>
      <c r="H308" s="3" t="s">
        <v>65</v>
      </c>
      <c r="I308" s="5">
        <v>2018</v>
      </c>
      <c r="J308" s="12">
        <v>7.2</v>
      </c>
      <c r="K308" s="13">
        <v>13</v>
      </c>
    </row>
    <row r="309" spans="1:11" x14ac:dyDescent="0.25">
      <c r="A309" s="6" t="s">
        <v>359</v>
      </c>
      <c r="B309" s="6" t="s">
        <v>39</v>
      </c>
      <c r="C309" s="6" t="s">
        <v>71</v>
      </c>
      <c r="D309" s="6" t="s">
        <v>26</v>
      </c>
      <c r="E309" s="14">
        <v>22.1</v>
      </c>
      <c r="F309" s="8">
        <v>44390</v>
      </c>
      <c r="G309" s="9">
        <v>2021</v>
      </c>
      <c r="H309" s="7" t="s">
        <v>60</v>
      </c>
      <c r="I309" s="9">
        <v>2013</v>
      </c>
      <c r="J309" s="14">
        <v>108</v>
      </c>
      <c r="K309" s="15">
        <v>193</v>
      </c>
    </row>
    <row r="310" spans="1:11" x14ac:dyDescent="0.25">
      <c r="A310" s="2" t="s">
        <v>360</v>
      </c>
      <c r="B310" s="2" t="s">
        <v>12</v>
      </c>
      <c r="C310" s="2" t="s">
        <v>63</v>
      </c>
      <c r="D310" s="2" t="s">
        <v>31</v>
      </c>
      <c r="E310" s="12">
        <v>1.5</v>
      </c>
      <c r="F310" s="4">
        <v>44394</v>
      </c>
      <c r="G310" s="5">
        <v>2021</v>
      </c>
      <c r="H310" s="3" t="s">
        <v>43</v>
      </c>
      <c r="I310" s="5">
        <v>2015</v>
      </c>
      <c r="J310" s="12">
        <v>10.5</v>
      </c>
      <c r="K310" s="13">
        <v>25</v>
      </c>
    </row>
    <row r="311" spans="1:11" x14ac:dyDescent="0.25">
      <c r="A311" s="6" t="s">
        <v>361</v>
      </c>
      <c r="B311" s="6" t="s">
        <v>33</v>
      </c>
      <c r="C311" s="6" t="s">
        <v>18</v>
      </c>
      <c r="D311" s="6" t="s">
        <v>19</v>
      </c>
      <c r="E311" s="14">
        <v>95.8</v>
      </c>
      <c r="F311" s="8">
        <v>44396</v>
      </c>
      <c r="G311" s="9">
        <v>2021</v>
      </c>
      <c r="H311" s="7" t="s">
        <v>107</v>
      </c>
      <c r="I311" s="9">
        <v>2017</v>
      </c>
      <c r="J311" s="14">
        <v>438.9</v>
      </c>
      <c r="K311" s="15">
        <v>732</v>
      </c>
    </row>
    <row r="312" spans="1:11" x14ac:dyDescent="0.25">
      <c r="A312" s="2" t="s">
        <v>362</v>
      </c>
      <c r="B312" s="2" t="s">
        <v>42</v>
      </c>
      <c r="C312" s="2" t="s">
        <v>48</v>
      </c>
      <c r="D312" s="2" t="s">
        <v>35</v>
      </c>
      <c r="E312" s="12">
        <v>385.5</v>
      </c>
      <c r="F312" s="4">
        <v>44400</v>
      </c>
      <c r="G312" s="5">
        <v>2021</v>
      </c>
      <c r="H312" s="3" t="s">
        <v>43</v>
      </c>
      <c r="I312" s="5">
        <v>2021</v>
      </c>
      <c r="J312" s="12">
        <v>2306.6</v>
      </c>
      <c r="K312" s="13">
        <v>5459</v>
      </c>
    </row>
    <row r="313" spans="1:11" x14ac:dyDescent="0.25">
      <c r="A313" s="6" t="s">
        <v>363</v>
      </c>
      <c r="B313" s="6" t="s">
        <v>39</v>
      </c>
      <c r="C313" s="6" t="s">
        <v>13</v>
      </c>
      <c r="D313" s="6" t="s">
        <v>14</v>
      </c>
      <c r="E313" s="14">
        <v>14.1</v>
      </c>
      <c r="F313" s="8">
        <v>44402</v>
      </c>
      <c r="G313" s="9">
        <v>2021</v>
      </c>
      <c r="H313" s="7" t="s">
        <v>58</v>
      </c>
      <c r="I313" s="9">
        <v>2021</v>
      </c>
      <c r="J313" s="14">
        <v>103.4</v>
      </c>
      <c r="K313" s="15">
        <v>330</v>
      </c>
    </row>
    <row r="314" spans="1:11" x14ac:dyDescent="0.25">
      <c r="A314" s="2" t="s">
        <v>364</v>
      </c>
      <c r="B314" s="2" t="s">
        <v>12</v>
      </c>
      <c r="C314" s="2" t="s">
        <v>25</v>
      </c>
      <c r="D314" s="2" t="s">
        <v>14</v>
      </c>
      <c r="E314" s="12">
        <v>6.2</v>
      </c>
      <c r="F314" s="4">
        <v>44405</v>
      </c>
      <c r="G314" s="5">
        <v>2021</v>
      </c>
      <c r="H314" s="3" t="s">
        <v>37</v>
      </c>
      <c r="I314" s="5">
        <v>2016</v>
      </c>
      <c r="J314" s="12">
        <v>43.9</v>
      </c>
      <c r="K314" s="13">
        <v>153</v>
      </c>
    </row>
    <row r="315" spans="1:11" x14ac:dyDescent="0.25">
      <c r="A315" s="6" t="s">
        <v>365</v>
      </c>
      <c r="B315" s="6" t="s">
        <v>39</v>
      </c>
      <c r="C315" s="6" t="s">
        <v>13</v>
      </c>
      <c r="D315" s="6" t="s">
        <v>19</v>
      </c>
      <c r="E315" s="14">
        <v>130.4</v>
      </c>
      <c r="F315" s="8">
        <v>44406</v>
      </c>
      <c r="G315" s="9">
        <v>2021</v>
      </c>
      <c r="H315" s="7" t="s">
        <v>23</v>
      </c>
      <c r="I315" s="9">
        <v>2018</v>
      </c>
      <c r="J315" s="14">
        <v>1204</v>
      </c>
      <c r="K315" s="15">
        <v>2964</v>
      </c>
    </row>
    <row r="316" spans="1:11" x14ac:dyDescent="0.25">
      <c r="A316" s="2" t="s">
        <v>366</v>
      </c>
      <c r="B316" s="2" t="s">
        <v>29</v>
      </c>
      <c r="C316" s="2" t="s">
        <v>25</v>
      </c>
      <c r="D316" s="2" t="s">
        <v>19</v>
      </c>
      <c r="E316" s="12">
        <v>139.1</v>
      </c>
      <c r="F316" s="4">
        <v>44407</v>
      </c>
      <c r="G316" s="5">
        <v>2021</v>
      </c>
      <c r="H316" s="3" t="s">
        <v>58</v>
      </c>
      <c r="I316" s="5">
        <v>2013</v>
      </c>
      <c r="J316" s="12">
        <v>607.6</v>
      </c>
      <c r="K316" s="13">
        <v>1113</v>
      </c>
    </row>
    <row r="317" spans="1:11" x14ac:dyDescent="0.25">
      <c r="A317" s="6" t="s">
        <v>367</v>
      </c>
      <c r="B317" s="6" t="s">
        <v>29</v>
      </c>
      <c r="C317" s="6" t="s">
        <v>18</v>
      </c>
      <c r="D317" s="6" t="s">
        <v>35</v>
      </c>
      <c r="E317" s="14">
        <v>207.3</v>
      </c>
      <c r="F317" s="8">
        <v>44411</v>
      </c>
      <c r="G317" s="9">
        <v>2021</v>
      </c>
      <c r="H317" s="7" t="s">
        <v>37</v>
      </c>
      <c r="I317" s="9">
        <v>2019</v>
      </c>
      <c r="J317" s="14">
        <v>1305</v>
      </c>
      <c r="K317" s="15">
        <v>4438</v>
      </c>
    </row>
    <row r="318" spans="1:11" x14ac:dyDescent="0.25">
      <c r="A318" s="2" t="s">
        <v>368</v>
      </c>
      <c r="B318" s="2" t="s">
        <v>104</v>
      </c>
      <c r="C318" s="2" t="s">
        <v>18</v>
      </c>
      <c r="D318" s="2" t="s">
        <v>31</v>
      </c>
      <c r="E318" s="12">
        <v>3</v>
      </c>
      <c r="F318" s="4">
        <v>44413</v>
      </c>
      <c r="G318" s="5">
        <v>2021</v>
      </c>
      <c r="H318" s="3" t="s">
        <v>60</v>
      </c>
      <c r="I318" s="5">
        <v>2017</v>
      </c>
      <c r="J318" s="12">
        <v>15.9</v>
      </c>
      <c r="K318" s="13">
        <v>54</v>
      </c>
    </row>
    <row r="319" spans="1:11" x14ac:dyDescent="0.25">
      <c r="A319" s="6" t="s">
        <v>369</v>
      </c>
      <c r="B319" s="6" t="s">
        <v>76</v>
      </c>
      <c r="C319" s="6" t="s">
        <v>34</v>
      </c>
      <c r="D319" s="6" t="s">
        <v>31</v>
      </c>
      <c r="E319" s="14">
        <v>0.7</v>
      </c>
      <c r="F319" s="8">
        <v>44415</v>
      </c>
      <c r="G319" s="9">
        <v>2021</v>
      </c>
      <c r="H319" s="7" t="s">
        <v>45</v>
      </c>
      <c r="I319" s="9">
        <v>2016</v>
      </c>
      <c r="J319" s="14">
        <v>3.3</v>
      </c>
      <c r="K319" s="15">
        <v>10</v>
      </c>
    </row>
    <row r="320" spans="1:11" x14ac:dyDescent="0.25">
      <c r="A320" s="2" t="s">
        <v>370</v>
      </c>
      <c r="B320" s="2" t="s">
        <v>47</v>
      </c>
      <c r="C320" s="2" t="s">
        <v>18</v>
      </c>
      <c r="D320" s="2" t="s">
        <v>14</v>
      </c>
      <c r="E320" s="12">
        <v>4.7</v>
      </c>
      <c r="F320" s="4">
        <v>44417</v>
      </c>
      <c r="G320" s="5">
        <v>2021</v>
      </c>
      <c r="H320" s="3" t="s">
        <v>55</v>
      </c>
      <c r="I320" s="5">
        <v>2015</v>
      </c>
      <c r="J320" s="12">
        <v>24.9</v>
      </c>
      <c r="K320" s="13">
        <v>39</v>
      </c>
    </row>
    <row r="321" spans="1:11" x14ac:dyDescent="0.25">
      <c r="A321" s="6" t="s">
        <v>371</v>
      </c>
      <c r="B321" s="6" t="s">
        <v>42</v>
      </c>
      <c r="C321" s="6" t="s">
        <v>18</v>
      </c>
      <c r="D321" s="6" t="s">
        <v>14</v>
      </c>
      <c r="E321" s="14">
        <v>12.4</v>
      </c>
      <c r="F321" s="8">
        <v>44430</v>
      </c>
      <c r="G321" s="9">
        <v>2021</v>
      </c>
      <c r="H321" s="7" t="s">
        <v>53</v>
      </c>
      <c r="I321" s="9">
        <v>2021</v>
      </c>
      <c r="J321" s="14">
        <v>67.5</v>
      </c>
      <c r="K321" s="15">
        <v>137</v>
      </c>
    </row>
    <row r="322" spans="1:11" x14ac:dyDescent="0.25">
      <c r="A322" s="2" t="s">
        <v>372</v>
      </c>
      <c r="B322" s="2" t="s">
        <v>39</v>
      </c>
      <c r="C322" s="2" t="s">
        <v>34</v>
      </c>
      <c r="D322" s="2" t="s">
        <v>31</v>
      </c>
      <c r="E322" s="12">
        <v>2.9</v>
      </c>
      <c r="F322" s="4">
        <v>44434</v>
      </c>
      <c r="G322" s="5">
        <v>2021</v>
      </c>
      <c r="H322" s="3" t="s">
        <v>15</v>
      </c>
      <c r="I322" s="5">
        <v>2018</v>
      </c>
      <c r="J322" s="12">
        <v>17.899999999999999</v>
      </c>
      <c r="K322" s="13">
        <v>50</v>
      </c>
    </row>
    <row r="323" spans="1:11" x14ac:dyDescent="0.25">
      <c r="A323" s="6" t="s">
        <v>373</v>
      </c>
      <c r="B323" s="6" t="s">
        <v>33</v>
      </c>
      <c r="C323" s="6" t="s">
        <v>18</v>
      </c>
      <c r="D323" s="6" t="s">
        <v>31</v>
      </c>
      <c r="E323" s="14">
        <v>0.6</v>
      </c>
      <c r="F323" s="8">
        <v>44435</v>
      </c>
      <c r="G323" s="9">
        <v>2021</v>
      </c>
      <c r="H323" s="7" t="s">
        <v>60</v>
      </c>
      <c r="I323" s="9">
        <v>2020</v>
      </c>
      <c r="J323" s="14">
        <v>4.8</v>
      </c>
      <c r="K323" s="15">
        <v>15</v>
      </c>
    </row>
    <row r="324" spans="1:11" x14ac:dyDescent="0.25">
      <c r="A324" s="2" t="s">
        <v>374</v>
      </c>
      <c r="B324" s="2" t="s">
        <v>33</v>
      </c>
      <c r="C324" s="2" t="s">
        <v>63</v>
      </c>
      <c r="D324" s="2" t="s">
        <v>19</v>
      </c>
      <c r="E324" s="12">
        <v>112.7</v>
      </c>
      <c r="F324" s="4">
        <v>44436</v>
      </c>
      <c r="G324" s="5">
        <v>2021</v>
      </c>
      <c r="H324" s="3" t="s">
        <v>37</v>
      </c>
      <c r="I324" s="5">
        <v>2020</v>
      </c>
      <c r="J324" s="12">
        <v>628.9</v>
      </c>
      <c r="K324" s="13">
        <v>1755</v>
      </c>
    </row>
    <row r="325" spans="1:11" x14ac:dyDescent="0.25">
      <c r="A325" s="6" t="s">
        <v>375</v>
      </c>
      <c r="B325" s="6" t="s">
        <v>39</v>
      </c>
      <c r="C325" s="6" t="s">
        <v>34</v>
      </c>
      <c r="D325" s="6" t="s">
        <v>14</v>
      </c>
      <c r="E325" s="14">
        <v>9.1</v>
      </c>
      <c r="F325" s="8">
        <v>44437</v>
      </c>
      <c r="G325" s="9">
        <v>2021</v>
      </c>
      <c r="H325" s="7" t="s">
        <v>15</v>
      </c>
      <c r="I325" s="9">
        <v>2018</v>
      </c>
      <c r="J325" s="14">
        <v>33.299999999999997</v>
      </c>
      <c r="K325" s="15">
        <v>105</v>
      </c>
    </row>
    <row r="326" spans="1:11" x14ac:dyDescent="0.25">
      <c r="A326" s="2" t="s">
        <v>376</v>
      </c>
      <c r="B326" s="2" t="s">
        <v>29</v>
      </c>
      <c r="C326" s="2" t="s">
        <v>40</v>
      </c>
      <c r="D326" s="2" t="s">
        <v>31</v>
      </c>
      <c r="E326" s="12">
        <v>1.8</v>
      </c>
      <c r="F326" s="4">
        <v>44438</v>
      </c>
      <c r="G326" s="5">
        <v>2021</v>
      </c>
      <c r="H326" s="3" t="s">
        <v>123</v>
      </c>
      <c r="I326" s="5">
        <v>2017</v>
      </c>
      <c r="J326" s="12">
        <v>11.2</v>
      </c>
      <c r="K326" s="13">
        <v>22</v>
      </c>
    </row>
    <row r="327" spans="1:11" x14ac:dyDescent="0.25">
      <c r="A327" s="6" t="s">
        <v>377</v>
      </c>
      <c r="B327" s="6" t="s">
        <v>47</v>
      </c>
      <c r="C327" s="6" t="s">
        <v>18</v>
      </c>
      <c r="D327" s="6" t="s">
        <v>26</v>
      </c>
      <c r="E327" s="14">
        <v>42</v>
      </c>
      <c r="F327" s="8">
        <v>44442</v>
      </c>
      <c r="G327" s="9">
        <v>2021</v>
      </c>
      <c r="H327" s="7" t="s">
        <v>50</v>
      </c>
      <c r="I327" s="9">
        <v>2019</v>
      </c>
      <c r="J327" s="14">
        <v>166.4</v>
      </c>
      <c r="K327" s="15">
        <v>611</v>
      </c>
    </row>
    <row r="328" spans="1:11" x14ac:dyDescent="0.25">
      <c r="A328" s="2" t="s">
        <v>378</v>
      </c>
      <c r="B328" s="2" t="s">
        <v>29</v>
      </c>
      <c r="C328" s="2" t="s">
        <v>18</v>
      </c>
      <c r="D328" s="2" t="s">
        <v>14</v>
      </c>
      <c r="E328" s="12">
        <v>12.4</v>
      </c>
      <c r="F328" s="4">
        <v>44442</v>
      </c>
      <c r="G328" s="5">
        <v>2021</v>
      </c>
      <c r="H328" s="3" t="s">
        <v>107</v>
      </c>
      <c r="I328" s="5">
        <v>2016</v>
      </c>
      <c r="J328" s="12">
        <v>70.900000000000006</v>
      </c>
      <c r="K328" s="13">
        <v>117</v>
      </c>
    </row>
    <row r="329" spans="1:11" x14ac:dyDescent="0.25">
      <c r="A329" s="6" t="s">
        <v>379</v>
      </c>
      <c r="B329" s="6" t="s">
        <v>42</v>
      </c>
      <c r="C329" s="6" t="s">
        <v>13</v>
      </c>
      <c r="D329" s="6" t="s">
        <v>31</v>
      </c>
      <c r="E329" s="14">
        <v>3.4</v>
      </c>
      <c r="F329" s="8">
        <v>44445</v>
      </c>
      <c r="G329" s="9">
        <v>2021</v>
      </c>
      <c r="H329" s="7" t="s">
        <v>20</v>
      </c>
      <c r="I329" s="9">
        <v>2021</v>
      </c>
      <c r="J329" s="14">
        <v>23.5</v>
      </c>
      <c r="K329" s="15">
        <v>93</v>
      </c>
    </row>
    <row r="330" spans="1:11" x14ac:dyDescent="0.25">
      <c r="A330" s="2" t="s">
        <v>380</v>
      </c>
      <c r="B330" s="2" t="s">
        <v>104</v>
      </c>
      <c r="C330" s="2" t="s">
        <v>34</v>
      </c>
      <c r="D330" s="2" t="s">
        <v>31</v>
      </c>
      <c r="E330" s="12">
        <v>2.8</v>
      </c>
      <c r="F330" s="4">
        <v>44445</v>
      </c>
      <c r="G330" s="5">
        <v>2021</v>
      </c>
      <c r="H330" s="3" t="s">
        <v>50</v>
      </c>
      <c r="I330" s="5">
        <v>2016</v>
      </c>
      <c r="J330" s="12">
        <v>17</v>
      </c>
      <c r="K330" s="13">
        <v>52</v>
      </c>
    </row>
    <row r="331" spans="1:11" x14ac:dyDescent="0.25">
      <c r="A331" s="6" t="s">
        <v>381</v>
      </c>
      <c r="B331" s="6" t="s">
        <v>17</v>
      </c>
      <c r="C331" s="6" t="s">
        <v>71</v>
      </c>
      <c r="D331" s="6" t="s">
        <v>31</v>
      </c>
      <c r="E331" s="14">
        <v>2.4</v>
      </c>
      <c r="F331" s="8">
        <v>44448</v>
      </c>
      <c r="G331" s="9">
        <v>2021</v>
      </c>
      <c r="H331" s="7" t="s">
        <v>27</v>
      </c>
      <c r="I331" s="9">
        <v>2020</v>
      </c>
      <c r="J331" s="14">
        <v>16.600000000000001</v>
      </c>
      <c r="K331" s="15">
        <v>61</v>
      </c>
    </row>
    <row r="332" spans="1:11" x14ac:dyDescent="0.25">
      <c r="A332" s="2" t="s">
        <v>382</v>
      </c>
      <c r="B332" s="2" t="s">
        <v>47</v>
      </c>
      <c r="C332" s="2" t="s">
        <v>34</v>
      </c>
      <c r="D332" s="2" t="s">
        <v>14</v>
      </c>
      <c r="E332" s="12">
        <v>9.6</v>
      </c>
      <c r="F332" s="4">
        <v>44449</v>
      </c>
      <c r="G332" s="5">
        <v>2021</v>
      </c>
      <c r="H332" s="3" t="s">
        <v>20</v>
      </c>
      <c r="I332" s="5">
        <v>2019</v>
      </c>
      <c r="J332" s="12">
        <v>33.799999999999997</v>
      </c>
      <c r="K332" s="13">
        <v>69</v>
      </c>
    </row>
    <row r="333" spans="1:11" x14ac:dyDescent="0.25">
      <c r="A333" s="6" t="s">
        <v>383</v>
      </c>
      <c r="B333" s="6" t="s">
        <v>39</v>
      </c>
      <c r="C333" s="6" t="s">
        <v>18</v>
      </c>
      <c r="D333" s="6" t="s">
        <v>31</v>
      </c>
      <c r="E333" s="14">
        <v>1.9</v>
      </c>
      <c r="F333" s="8">
        <v>44450</v>
      </c>
      <c r="G333" s="9">
        <v>2021</v>
      </c>
      <c r="H333" s="7" t="s">
        <v>43</v>
      </c>
      <c r="I333" s="9">
        <v>2018</v>
      </c>
      <c r="J333" s="14">
        <v>10.5</v>
      </c>
      <c r="K333" s="15">
        <v>31</v>
      </c>
    </row>
    <row r="334" spans="1:11" x14ac:dyDescent="0.25">
      <c r="A334" s="2" t="s">
        <v>384</v>
      </c>
      <c r="B334" s="2" t="s">
        <v>22</v>
      </c>
      <c r="C334" s="2" t="s">
        <v>13</v>
      </c>
      <c r="D334" s="2" t="s">
        <v>31</v>
      </c>
      <c r="E334" s="12">
        <v>2</v>
      </c>
      <c r="F334" s="4">
        <v>44455</v>
      </c>
      <c r="G334" s="5">
        <v>2021</v>
      </c>
      <c r="H334" s="3" t="s">
        <v>15</v>
      </c>
      <c r="I334" s="5">
        <v>2021</v>
      </c>
      <c r="J334" s="12">
        <v>9.5</v>
      </c>
      <c r="K334" s="13">
        <v>24</v>
      </c>
    </row>
    <row r="335" spans="1:11" x14ac:dyDescent="0.25">
      <c r="A335" s="6" t="s">
        <v>385</v>
      </c>
      <c r="B335" s="6" t="s">
        <v>17</v>
      </c>
      <c r="C335" s="6" t="s">
        <v>25</v>
      </c>
      <c r="D335" s="6" t="s">
        <v>14</v>
      </c>
      <c r="E335" s="14">
        <v>19.100000000000001</v>
      </c>
      <c r="F335" s="8">
        <v>44459</v>
      </c>
      <c r="G335" s="9">
        <v>2021</v>
      </c>
      <c r="H335" s="7" t="s">
        <v>27</v>
      </c>
      <c r="I335" s="9">
        <v>2017</v>
      </c>
      <c r="J335" s="14">
        <v>84.4</v>
      </c>
      <c r="K335" s="15">
        <v>216</v>
      </c>
    </row>
    <row r="336" spans="1:11" x14ac:dyDescent="0.25">
      <c r="A336" s="2" t="s">
        <v>386</v>
      </c>
      <c r="B336" s="2" t="s">
        <v>29</v>
      </c>
      <c r="C336" s="2" t="s">
        <v>63</v>
      </c>
      <c r="D336" s="2" t="s">
        <v>31</v>
      </c>
      <c r="E336" s="12">
        <v>2.6</v>
      </c>
      <c r="F336" s="4">
        <v>44459</v>
      </c>
      <c r="G336" s="5">
        <v>2021</v>
      </c>
      <c r="H336" s="3" t="s">
        <v>45</v>
      </c>
      <c r="I336" s="5">
        <v>2013</v>
      </c>
      <c r="J336" s="12">
        <v>23.7</v>
      </c>
      <c r="K336" s="13">
        <v>47</v>
      </c>
    </row>
    <row r="337" spans="1:11" x14ac:dyDescent="0.25">
      <c r="A337" s="6" t="s">
        <v>387</v>
      </c>
      <c r="B337" s="6" t="s">
        <v>33</v>
      </c>
      <c r="C337" s="6" t="s">
        <v>18</v>
      </c>
      <c r="D337" s="6" t="s">
        <v>35</v>
      </c>
      <c r="E337" s="14">
        <v>327.10000000000002</v>
      </c>
      <c r="F337" s="8">
        <v>44461</v>
      </c>
      <c r="G337" s="9">
        <v>2021</v>
      </c>
      <c r="H337" s="7" t="s">
        <v>23</v>
      </c>
      <c r="I337" s="9">
        <v>2014</v>
      </c>
      <c r="J337" s="14">
        <v>1660.3</v>
      </c>
      <c r="K337" s="15">
        <v>5129</v>
      </c>
    </row>
    <row r="338" spans="1:11" x14ac:dyDescent="0.25">
      <c r="A338" s="2" t="s">
        <v>388</v>
      </c>
      <c r="B338" s="2" t="s">
        <v>29</v>
      </c>
      <c r="C338" s="2" t="s">
        <v>18</v>
      </c>
      <c r="D338" s="2" t="s">
        <v>14</v>
      </c>
      <c r="E338" s="12">
        <v>9.1</v>
      </c>
      <c r="F338" s="4">
        <v>44462</v>
      </c>
      <c r="G338" s="5">
        <v>2021</v>
      </c>
      <c r="H338" s="3" t="s">
        <v>37</v>
      </c>
      <c r="I338" s="5">
        <v>2021</v>
      </c>
      <c r="J338" s="12">
        <v>51.9</v>
      </c>
      <c r="K338" s="13">
        <v>105</v>
      </c>
    </row>
    <row r="339" spans="1:11" x14ac:dyDescent="0.25">
      <c r="A339" s="6" t="s">
        <v>389</v>
      </c>
      <c r="B339" s="6" t="s">
        <v>33</v>
      </c>
      <c r="C339" s="6" t="s">
        <v>13</v>
      </c>
      <c r="D339" s="6" t="s">
        <v>19</v>
      </c>
      <c r="E339" s="14">
        <v>48.4</v>
      </c>
      <c r="F339" s="8">
        <v>44463</v>
      </c>
      <c r="G339" s="9">
        <v>2021</v>
      </c>
      <c r="H339" s="7" t="s">
        <v>43</v>
      </c>
      <c r="I339" s="9">
        <v>2014</v>
      </c>
      <c r="J339" s="14">
        <v>321.10000000000002</v>
      </c>
      <c r="K339" s="15">
        <v>532</v>
      </c>
    </row>
    <row r="340" spans="1:11" x14ac:dyDescent="0.25">
      <c r="A340" s="2" t="s">
        <v>390</v>
      </c>
      <c r="B340" s="2" t="s">
        <v>17</v>
      </c>
      <c r="C340" s="2" t="s">
        <v>34</v>
      </c>
      <c r="D340" s="2" t="s">
        <v>26</v>
      </c>
      <c r="E340" s="12">
        <v>37.4</v>
      </c>
      <c r="F340" s="4">
        <v>44464</v>
      </c>
      <c r="G340" s="5">
        <v>2021</v>
      </c>
      <c r="H340" s="3" t="s">
        <v>37</v>
      </c>
      <c r="I340" s="5">
        <v>2019</v>
      </c>
      <c r="J340" s="12">
        <v>241.7</v>
      </c>
      <c r="K340" s="13">
        <v>716</v>
      </c>
    </row>
    <row r="341" spans="1:11" x14ac:dyDescent="0.25">
      <c r="A341" s="6" t="s">
        <v>391</v>
      </c>
      <c r="B341" s="6" t="s">
        <v>17</v>
      </c>
      <c r="C341" s="6" t="s">
        <v>34</v>
      </c>
      <c r="D341" s="6" t="s">
        <v>14</v>
      </c>
      <c r="E341" s="14">
        <v>7.3</v>
      </c>
      <c r="F341" s="8">
        <v>44465</v>
      </c>
      <c r="G341" s="9">
        <v>2021</v>
      </c>
      <c r="H341" s="7" t="s">
        <v>45</v>
      </c>
      <c r="I341" s="9">
        <v>2013</v>
      </c>
      <c r="J341" s="14">
        <v>44.4</v>
      </c>
      <c r="K341" s="15">
        <v>124</v>
      </c>
    </row>
    <row r="342" spans="1:11" x14ac:dyDescent="0.25">
      <c r="A342" s="2" t="s">
        <v>392</v>
      </c>
      <c r="B342" s="2" t="s">
        <v>39</v>
      </c>
      <c r="C342" s="2" t="s">
        <v>30</v>
      </c>
      <c r="D342" s="2" t="s">
        <v>14</v>
      </c>
      <c r="E342" s="12">
        <v>5.5</v>
      </c>
      <c r="F342" s="4">
        <v>44465</v>
      </c>
      <c r="G342" s="5">
        <v>2021</v>
      </c>
      <c r="H342" s="3" t="s">
        <v>55</v>
      </c>
      <c r="I342" s="5">
        <v>2013</v>
      </c>
      <c r="J342" s="12">
        <v>23.6</v>
      </c>
      <c r="K342" s="13">
        <v>68</v>
      </c>
    </row>
    <row r="343" spans="1:11" x14ac:dyDescent="0.25">
      <c r="A343" s="6" t="s">
        <v>393</v>
      </c>
      <c r="B343" s="6" t="s">
        <v>42</v>
      </c>
      <c r="C343" s="6" t="s">
        <v>34</v>
      </c>
      <c r="D343" s="6" t="s">
        <v>26</v>
      </c>
      <c r="E343" s="14">
        <v>25.2</v>
      </c>
      <c r="F343" s="8">
        <v>44480</v>
      </c>
      <c r="G343" s="9">
        <v>2021</v>
      </c>
      <c r="H343" s="7" t="s">
        <v>50</v>
      </c>
      <c r="I343" s="9">
        <v>2014</v>
      </c>
      <c r="J343" s="14">
        <v>186.4</v>
      </c>
      <c r="K343" s="15">
        <v>727</v>
      </c>
    </row>
    <row r="344" spans="1:11" x14ac:dyDescent="0.25">
      <c r="A344" s="2" t="s">
        <v>394</v>
      </c>
      <c r="B344" s="2" t="s">
        <v>33</v>
      </c>
      <c r="C344" s="2" t="s">
        <v>13</v>
      </c>
      <c r="D344" s="2" t="s">
        <v>14</v>
      </c>
      <c r="E344" s="12">
        <v>9.5</v>
      </c>
      <c r="F344" s="4">
        <v>44482</v>
      </c>
      <c r="G344" s="5">
        <v>2021</v>
      </c>
      <c r="H344" s="3" t="s">
        <v>58</v>
      </c>
      <c r="I344" s="5">
        <v>2020</v>
      </c>
      <c r="J344" s="12">
        <v>66.400000000000006</v>
      </c>
      <c r="K344" s="13">
        <v>114</v>
      </c>
    </row>
    <row r="345" spans="1:11" x14ac:dyDescent="0.25">
      <c r="A345" s="6" t="s">
        <v>395</v>
      </c>
      <c r="B345" s="6" t="s">
        <v>33</v>
      </c>
      <c r="C345" s="6" t="s">
        <v>34</v>
      </c>
      <c r="D345" s="6" t="s">
        <v>14</v>
      </c>
      <c r="E345" s="14">
        <v>9.3000000000000007</v>
      </c>
      <c r="F345" s="8">
        <v>44485</v>
      </c>
      <c r="G345" s="9">
        <v>2021</v>
      </c>
      <c r="H345" s="7" t="s">
        <v>107</v>
      </c>
      <c r="I345" s="9">
        <v>2020</v>
      </c>
      <c r="J345" s="14">
        <v>55.3</v>
      </c>
      <c r="K345" s="15">
        <v>158</v>
      </c>
    </row>
    <row r="346" spans="1:11" x14ac:dyDescent="0.25">
      <c r="A346" s="2" t="s">
        <v>396</v>
      </c>
      <c r="B346" s="2" t="s">
        <v>39</v>
      </c>
      <c r="C346" s="2" t="s">
        <v>18</v>
      </c>
      <c r="D346" s="2" t="s">
        <v>19</v>
      </c>
      <c r="E346" s="12">
        <v>85.4</v>
      </c>
      <c r="F346" s="4">
        <v>44486</v>
      </c>
      <c r="G346" s="5">
        <v>2021</v>
      </c>
      <c r="H346" s="3" t="s">
        <v>43</v>
      </c>
      <c r="I346" s="5">
        <v>2013</v>
      </c>
      <c r="J346" s="12">
        <v>672.3</v>
      </c>
      <c r="K346" s="13">
        <v>2611</v>
      </c>
    </row>
    <row r="347" spans="1:11" x14ac:dyDescent="0.25">
      <c r="A347" s="6" t="s">
        <v>397</v>
      </c>
      <c r="B347" s="6" t="s">
        <v>17</v>
      </c>
      <c r="C347" s="6" t="s">
        <v>18</v>
      </c>
      <c r="D347" s="6" t="s">
        <v>19</v>
      </c>
      <c r="E347" s="14">
        <v>61.7</v>
      </c>
      <c r="F347" s="8">
        <v>44490</v>
      </c>
      <c r="G347" s="9">
        <v>2021</v>
      </c>
      <c r="H347" s="7" t="s">
        <v>20</v>
      </c>
      <c r="I347" s="9">
        <v>2016</v>
      </c>
      <c r="J347" s="14">
        <v>563.20000000000005</v>
      </c>
      <c r="K347" s="15">
        <v>1156</v>
      </c>
    </row>
    <row r="348" spans="1:11" x14ac:dyDescent="0.25">
      <c r="A348" s="2" t="s">
        <v>398</v>
      </c>
      <c r="B348" s="2" t="s">
        <v>47</v>
      </c>
      <c r="C348" s="2" t="s">
        <v>13</v>
      </c>
      <c r="D348" s="2" t="s">
        <v>26</v>
      </c>
      <c r="E348" s="12">
        <v>19.600000000000001</v>
      </c>
      <c r="F348" s="4">
        <v>44491</v>
      </c>
      <c r="G348" s="5">
        <v>2021</v>
      </c>
      <c r="H348" s="3" t="s">
        <v>65</v>
      </c>
      <c r="I348" s="5">
        <v>2012</v>
      </c>
      <c r="J348" s="12">
        <v>70</v>
      </c>
      <c r="K348" s="13">
        <v>233</v>
      </c>
    </row>
    <row r="349" spans="1:11" x14ac:dyDescent="0.25">
      <c r="A349" s="6" t="s">
        <v>399</v>
      </c>
      <c r="B349" s="6" t="s">
        <v>100</v>
      </c>
      <c r="C349" s="6" t="s">
        <v>48</v>
      </c>
      <c r="D349" s="6" t="s">
        <v>26</v>
      </c>
      <c r="E349" s="14">
        <v>52.1</v>
      </c>
      <c r="F349" s="8">
        <v>44491</v>
      </c>
      <c r="G349" s="9">
        <v>2021</v>
      </c>
      <c r="H349" s="7" t="s">
        <v>27</v>
      </c>
      <c r="I349" s="9">
        <v>2020</v>
      </c>
      <c r="J349" s="14">
        <v>416.2</v>
      </c>
      <c r="K349" s="15">
        <v>1416</v>
      </c>
    </row>
    <row r="350" spans="1:11" x14ac:dyDescent="0.25">
      <c r="A350" s="2" t="s">
        <v>400</v>
      </c>
      <c r="B350" s="2" t="s">
        <v>33</v>
      </c>
      <c r="C350" s="2" t="s">
        <v>48</v>
      </c>
      <c r="D350" s="2" t="s">
        <v>31</v>
      </c>
      <c r="E350" s="12">
        <v>1.8</v>
      </c>
      <c r="F350" s="4">
        <v>44493</v>
      </c>
      <c r="G350" s="5">
        <v>2021</v>
      </c>
      <c r="H350" s="3" t="s">
        <v>58</v>
      </c>
      <c r="I350" s="5">
        <v>2017</v>
      </c>
      <c r="J350" s="12">
        <v>14.1</v>
      </c>
      <c r="K350" s="13">
        <v>55</v>
      </c>
    </row>
    <row r="351" spans="1:11" x14ac:dyDescent="0.25">
      <c r="A351" s="6" t="s">
        <v>401</v>
      </c>
      <c r="B351" s="6" t="s">
        <v>47</v>
      </c>
      <c r="C351" s="6" t="s">
        <v>34</v>
      </c>
      <c r="D351" s="6" t="s">
        <v>31</v>
      </c>
      <c r="E351" s="14">
        <v>3.7</v>
      </c>
      <c r="F351" s="8">
        <v>44495</v>
      </c>
      <c r="G351" s="9">
        <v>2021</v>
      </c>
      <c r="H351" s="7" t="s">
        <v>58</v>
      </c>
      <c r="I351" s="9">
        <v>2015</v>
      </c>
      <c r="J351" s="14">
        <v>17.100000000000001</v>
      </c>
      <c r="K351" s="15">
        <v>57</v>
      </c>
    </row>
    <row r="352" spans="1:11" x14ac:dyDescent="0.25">
      <c r="A352" s="2" t="s">
        <v>402</v>
      </c>
      <c r="B352" s="2" t="s">
        <v>29</v>
      </c>
      <c r="C352" s="2" t="s">
        <v>63</v>
      </c>
      <c r="D352" s="2" t="s">
        <v>31</v>
      </c>
      <c r="E352" s="12">
        <v>2.2999999999999998</v>
      </c>
      <c r="F352" s="4">
        <v>44496</v>
      </c>
      <c r="G352" s="5">
        <v>2021</v>
      </c>
      <c r="H352" s="3" t="s">
        <v>45</v>
      </c>
      <c r="I352" s="5">
        <v>2020</v>
      </c>
      <c r="J352" s="12">
        <v>10.3</v>
      </c>
      <c r="K352" s="13">
        <v>22</v>
      </c>
    </row>
    <row r="353" spans="1:11" x14ac:dyDescent="0.25">
      <c r="A353" s="6" t="s">
        <v>403</v>
      </c>
      <c r="B353" s="6" t="s">
        <v>17</v>
      </c>
      <c r="C353" s="6" t="s">
        <v>18</v>
      </c>
      <c r="D353" s="6" t="s">
        <v>14</v>
      </c>
      <c r="E353" s="14">
        <v>14</v>
      </c>
      <c r="F353" s="8">
        <v>44522</v>
      </c>
      <c r="G353" s="9">
        <v>2021</v>
      </c>
      <c r="H353" s="7" t="s">
        <v>23</v>
      </c>
      <c r="I353" s="9">
        <v>2021</v>
      </c>
      <c r="J353" s="14">
        <v>92.5</v>
      </c>
      <c r="K353" s="15">
        <v>193</v>
      </c>
    </row>
    <row r="354" spans="1:11" x14ac:dyDescent="0.25">
      <c r="A354" s="2" t="s">
        <v>404</v>
      </c>
      <c r="B354" s="2" t="s">
        <v>29</v>
      </c>
      <c r="C354" s="2" t="s">
        <v>18</v>
      </c>
      <c r="D354" s="2" t="s">
        <v>26</v>
      </c>
      <c r="E354" s="12">
        <v>23.8</v>
      </c>
      <c r="F354" s="4">
        <v>44530</v>
      </c>
      <c r="G354" s="5">
        <v>2021</v>
      </c>
      <c r="H354" s="3" t="s">
        <v>55</v>
      </c>
      <c r="I354" s="5">
        <v>2013</v>
      </c>
      <c r="J354" s="12">
        <v>106</v>
      </c>
      <c r="K354" s="13">
        <v>377</v>
      </c>
    </row>
    <row r="355" spans="1:11" x14ac:dyDescent="0.25">
      <c r="A355" s="6" t="s">
        <v>405</v>
      </c>
      <c r="B355" s="6" t="s">
        <v>104</v>
      </c>
      <c r="C355" s="6" t="s">
        <v>63</v>
      </c>
      <c r="D355" s="6" t="s">
        <v>14</v>
      </c>
      <c r="E355" s="14">
        <v>7.9</v>
      </c>
      <c r="F355" s="8">
        <v>44535</v>
      </c>
      <c r="G355" s="9">
        <v>2021</v>
      </c>
      <c r="H355" s="7" t="s">
        <v>50</v>
      </c>
      <c r="I355" s="9">
        <v>2014</v>
      </c>
      <c r="J355" s="14">
        <v>47.1</v>
      </c>
      <c r="K355" s="15">
        <v>184</v>
      </c>
    </row>
    <row r="356" spans="1:11" x14ac:dyDescent="0.25">
      <c r="A356" s="2" t="s">
        <v>406</v>
      </c>
      <c r="B356" s="2" t="s">
        <v>47</v>
      </c>
      <c r="C356" s="2" t="s">
        <v>30</v>
      </c>
      <c r="D356" s="2" t="s">
        <v>31</v>
      </c>
      <c r="E356" s="12">
        <v>3.1</v>
      </c>
      <c r="F356" s="4">
        <v>44540</v>
      </c>
      <c r="G356" s="5">
        <v>2021</v>
      </c>
      <c r="H356" s="3" t="s">
        <v>50</v>
      </c>
      <c r="I356" s="5">
        <v>2013</v>
      </c>
      <c r="J356" s="12">
        <v>18.3</v>
      </c>
      <c r="K356" s="13">
        <v>39</v>
      </c>
    </row>
    <row r="357" spans="1:11" x14ac:dyDescent="0.25">
      <c r="A357" s="6" t="s">
        <v>407</v>
      </c>
      <c r="B357" s="6" t="s">
        <v>12</v>
      </c>
      <c r="C357" s="6" t="s">
        <v>25</v>
      </c>
      <c r="D357" s="6" t="s">
        <v>35</v>
      </c>
      <c r="E357" s="14">
        <v>312.60000000000002</v>
      </c>
      <c r="F357" s="8">
        <v>44540</v>
      </c>
      <c r="G357" s="9">
        <v>2021</v>
      </c>
      <c r="H357" s="7" t="s">
        <v>43</v>
      </c>
      <c r="I357" s="9">
        <v>2021</v>
      </c>
      <c r="J357" s="14">
        <v>2195.1</v>
      </c>
      <c r="K357" s="15">
        <v>6440</v>
      </c>
    </row>
    <row r="358" spans="1:11" x14ac:dyDescent="0.25">
      <c r="A358" s="2" t="s">
        <v>408</v>
      </c>
      <c r="B358" s="2" t="s">
        <v>76</v>
      </c>
      <c r="C358" s="2" t="s">
        <v>63</v>
      </c>
      <c r="D358" s="2" t="s">
        <v>31</v>
      </c>
      <c r="E358" s="12">
        <v>3.7</v>
      </c>
      <c r="F358" s="4">
        <v>44541</v>
      </c>
      <c r="G358" s="5">
        <v>2021</v>
      </c>
      <c r="H358" s="3" t="s">
        <v>45</v>
      </c>
      <c r="I358" s="5">
        <v>2015</v>
      </c>
      <c r="J358" s="12">
        <v>30.2</v>
      </c>
      <c r="K358" s="13">
        <v>108</v>
      </c>
    </row>
    <row r="359" spans="1:11" x14ac:dyDescent="0.25">
      <c r="A359" s="6" t="s">
        <v>409</v>
      </c>
      <c r="B359" s="6" t="s">
        <v>29</v>
      </c>
      <c r="C359" s="6" t="s">
        <v>18</v>
      </c>
      <c r="D359" s="6" t="s">
        <v>14</v>
      </c>
      <c r="E359" s="14">
        <v>4.4000000000000004</v>
      </c>
      <c r="F359" s="8">
        <v>44550</v>
      </c>
      <c r="G359" s="9">
        <v>2021</v>
      </c>
      <c r="H359" s="7" t="s">
        <v>45</v>
      </c>
      <c r="I359" s="9">
        <v>2021</v>
      </c>
      <c r="J359" s="14">
        <v>17.100000000000001</v>
      </c>
      <c r="K359" s="15">
        <v>29</v>
      </c>
    </row>
    <row r="360" spans="1:11" x14ac:dyDescent="0.25">
      <c r="A360" s="2" t="s">
        <v>410</v>
      </c>
      <c r="B360" s="2" t="s">
        <v>17</v>
      </c>
      <c r="C360" s="2" t="s">
        <v>34</v>
      </c>
      <c r="D360" s="2" t="s">
        <v>14</v>
      </c>
      <c r="E360" s="12">
        <v>16.5</v>
      </c>
      <c r="F360" s="4">
        <v>44552</v>
      </c>
      <c r="G360" s="5">
        <v>2021</v>
      </c>
      <c r="H360" s="3" t="s">
        <v>60</v>
      </c>
      <c r="I360" s="5">
        <v>2016</v>
      </c>
      <c r="J360" s="12">
        <v>105.4</v>
      </c>
      <c r="K360" s="13">
        <v>412</v>
      </c>
    </row>
    <row r="361" spans="1:11" x14ac:dyDescent="0.25">
      <c r="A361" s="6" t="s">
        <v>411</v>
      </c>
      <c r="B361" s="6" t="s">
        <v>76</v>
      </c>
      <c r="C361" s="6" t="s">
        <v>18</v>
      </c>
      <c r="D361" s="6" t="s">
        <v>26</v>
      </c>
      <c r="E361" s="14">
        <v>19.2</v>
      </c>
      <c r="F361" s="8">
        <v>44553</v>
      </c>
      <c r="G361" s="9">
        <v>2021</v>
      </c>
      <c r="H361" s="7" t="s">
        <v>107</v>
      </c>
      <c r="I361" s="9">
        <v>2015</v>
      </c>
      <c r="J361" s="14">
        <v>130.19999999999999</v>
      </c>
      <c r="K361" s="15">
        <v>262</v>
      </c>
    </row>
    <row r="362" spans="1:11" x14ac:dyDescent="0.25">
      <c r="A362" s="2" t="s">
        <v>412</v>
      </c>
      <c r="B362" s="2" t="s">
        <v>67</v>
      </c>
      <c r="C362" s="2" t="s">
        <v>18</v>
      </c>
      <c r="D362" s="2" t="s">
        <v>31</v>
      </c>
      <c r="E362" s="12">
        <v>3.3</v>
      </c>
      <c r="F362" s="4">
        <v>44560</v>
      </c>
      <c r="G362" s="5">
        <v>2021</v>
      </c>
      <c r="H362" s="3" t="s">
        <v>50</v>
      </c>
      <c r="I362" s="5">
        <v>2012</v>
      </c>
      <c r="J362" s="12">
        <v>19.7</v>
      </c>
      <c r="K362" s="13">
        <v>31</v>
      </c>
    </row>
    <row r="363" spans="1:11" x14ac:dyDescent="0.25">
      <c r="A363" s="6" t="s">
        <v>413</v>
      </c>
      <c r="B363" s="6" t="s">
        <v>33</v>
      </c>
      <c r="C363" s="6" t="s">
        <v>25</v>
      </c>
      <c r="D363" s="6" t="s">
        <v>26</v>
      </c>
      <c r="E363" s="14">
        <v>33.9</v>
      </c>
      <c r="F363" s="8">
        <v>44560</v>
      </c>
      <c r="G363" s="9">
        <v>2021</v>
      </c>
      <c r="H363" s="7" t="s">
        <v>58</v>
      </c>
      <c r="I363" s="9">
        <v>2020</v>
      </c>
      <c r="J363" s="14">
        <v>190.1</v>
      </c>
      <c r="K363" s="15">
        <v>421</v>
      </c>
    </row>
    <row r="364" spans="1:11" x14ac:dyDescent="0.25">
      <c r="A364" s="2" t="s">
        <v>414</v>
      </c>
      <c r="B364" s="2" t="s">
        <v>12</v>
      </c>
      <c r="C364" s="2" t="s">
        <v>34</v>
      </c>
      <c r="D364" s="2" t="s">
        <v>26</v>
      </c>
      <c r="E364" s="12">
        <v>29.1</v>
      </c>
      <c r="F364" s="4">
        <v>44561</v>
      </c>
      <c r="G364" s="5">
        <v>2021</v>
      </c>
      <c r="H364" s="3" t="s">
        <v>27</v>
      </c>
      <c r="I364" s="5">
        <v>2018</v>
      </c>
      <c r="J364" s="12">
        <v>191.9</v>
      </c>
      <c r="K364" s="13">
        <v>759</v>
      </c>
    </row>
    <row r="365" spans="1:11" x14ac:dyDescent="0.25">
      <c r="A365" s="6" t="s">
        <v>415</v>
      </c>
      <c r="B365" s="6" t="s">
        <v>17</v>
      </c>
      <c r="C365" s="6" t="s">
        <v>18</v>
      </c>
      <c r="D365" s="6" t="s">
        <v>19</v>
      </c>
      <c r="E365" s="14">
        <v>86</v>
      </c>
      <c r="F365" s="8">
        <v>44563</v>
      </c>
      <c r="G365" s="9">
        <v>2022</v>
      </c>
      <c r="H365" s="7" t="s">
        <v>50</v>
      </c>
      <c r="I365" s="9">
        <v>2015</v>
      </c>
      <c r="J365" s="14">
        <v>688.3</v>
      </c>
      <c r="K365" s="15">
        <v>1408</v>
      </c>
    </row>
    <row r="366" spans="1:11" x14ac:dyDescent="0.25">
      <c r="A366" s="2" t="s">
        <v>416</v>
      </c>
      <c r="B366" s="2" t="s">
        <v>17</v>
      </c>
      <c r="C366" s="2" t="s">
        <v>34</v>
      </c>
      <c r="D366" s="2" t="s">
        <v>31</v>
      </c>
      <c r="E366" s="12">
        <v>3.4</v>
      </c>
      <c r="F366" s="4">
        <v>44565</v>
      </c>
      <c r="G366" s="5">
        <v>2022</v>
      </c>
      <c r="H366" s="3" t="s">
        <v>23</v>
      </c>
      <c r="I366" s="5">
        <v>2013</v>
      </c>
      <c r="J366" s="12">
        <v>22.8</v>
      </c>
      <c r="K366" s="13">
        <v>64</v>
      </c>
    </row>
    <row r="367" spans="1:11" x14ac:dyDescent="0.25">
      <c r="A367" s="6" t="s">
        <v>417</v>
      </c>
      <c r="B367" s="6" t="s">
        <v>33</v>
      </c>
      <c r="C367" s="6" t="s">
        <v>48</v>
      </c>
      <c r="D367" s="6" t="s">
        <v>14</v>
      </c>
      <c r="E367" s="14">
        <v>4.9000000000000004</v>
      </c>
      <c r="F367" s="8">
        <v>44566</v>
      </c>
      <c r="G367" s="9">
        <v>2022</v>
      </c>
      <c r="H367" s="7" t="s">
        <v>55</v>
      </c>
      <c r="I367" s="9">
        <v>2019</v>
      </c>
      <c r="J367" s="14">
        <v>38.299999999999997</v>
      </c>
      <c r="K367" s="15">
        <v>96</v>
      </c>
    </row>
    <row r="368" spans="1:11" x14ac:dyDescent="0.25">
      <c r="A368" s="2" t="s">
        <v>418</v>
      </c>
      <c r="B368" s="2" t="s">
        <v>12</v>
      </c>
      <c r="C368" s="2" t="s">
        <v>34</v>
      </c>
      <c r="D368" s="2" t="s">
        <v>14</v>
      </c>
      <c r="E368" s="12">
        <v>12</v>
      </c>
      <c r="F368" s="4">
        <v>44567</v>
      </c>
      <c r="G368" s="5">
        <v>2022</v>
      </c>
      <c r="H368" s="3" t="s">
        <v>55</v>
      </c>
      <c r="I368" s="5">
        <v>2021</v>
      </c>
      <c r="J368" s="12">
        <v>42.4</v>
      </c>
      <c r="K368" s="13">
        <v>124</v>
      </c>
    </row>
    <row r="369" spans="1:11" x14ac:dyDescent="0.25">
      <c r="A369" s="6" t="s">
        <v>419</v>
      </c>
      <c r="B369" s="6" t="s">
        <v>22</v>
      </c>
      <c r="C369" s="6" t="s">
        <v>13</v>
      </c>
      <c r="D369" s="6" t="s">
        <v>35</v>
      </c>
      <c r="E369" s="14">
        <v>216.8</v>
      </c>
      <c r="F369" s="8">
        <v>44577</v>
      </c>
      <c r="G369" s="9">
        <v>2022</v>
      </c>
      <c r="H369" s="7" t="s">
        <v>58</v>
      </c>
      <c r="I369" s="9">
        <v>2014</v>
      </c>
      <c r="J369" s="14">
        <v>1318.6</v>
      </c>
      <c r="K369" s="15">
        <v>5004</v>
      </c>
    </row>
    <row r="370" spans="1:11" x14ac:dyDescent="0.25">
      <c r="A370" s="2" t="s">
        <v>420</v>
      </c>
      <c r="B370" s="2" t="s">
        <v>29</v>
      </c>
      <c r="C370" s="2" t="s">
        <v>18</v>
      </c>
      <c r="D370" s="2" t="s">
        <v>14</v>
      </c>
      <c r="E370" s="12">
        <v>10.8</v>
      </c>
      <c r="F370" s="4">
        <v>44587</v>
      </c>
      <c r="G370" s="5">
        <v>2022</v>
      </c>
      <c r="H370" s="3" t="s">
        <v>45</v>
      </c>
      <c r="I370" s="5">
        <v>2016</v>
      </c>
      <c r="J370" s="12">
        <v>52.4</v>
      </c>
      <c r="K370" s="13">
        <v>104</v>
      </c>
    </row>
    <row r="371" spans="1:11" x14ac:dyDescent="0.25">
      <c r="A371" s="6" t="s">
        <v>421</v>
      </c>
      <c r="B371" s="6" t="s">
        <v>17</v>
      </c>
      <c r="C371" s="6" t="s">
        <v>13</v>
      </c>
      <c r="D371" s="6" t="s">
        <v>31</v>
      </c>
      <c r="E371" s="14">
        <v>4.8</v>
      </c>
      <c r="F371" s="8">
        <v>44587</v>
      </c>
      <c r="G371" s="9">
        <v>2022</v>
      </c>
      <c r="H371" s="7" t="s">
        <v>50</v>
      </c>
      <c r="I371" s="9">
        <v>2021</v>
      </c>
      <c r="J371" s="14">
        <v>45.6</v>
      </c>
      <c r="K371" s="15">
        <v>170</v>
      </c>
    </row>
    <row r="372" spans="1:11" x14ac:dyDescent="0.25">
      <c r="A372" s="2" t="s">
        <v>422</v>
      </c>
      <c r="B372" s="2" t="s">
        <v>17</v>
      </c>
      <c r="C372" s="2" t="s">
        <v>34</v>
      </c>
      <c r="D372" s="2" t="s">
        <v>31</v>
      </c>
      <c r="E372" s="12">
        <v>1.9</v>
      </c>
      <c r="F372" s="4">
        <v>44588</v>
      </c>
      <c r="G372" s="5">
        <v>2022</v>
      </c>
      <c r="H372" s="3" t="s">
        <v>20</v>
      </c>
      <c r="I372" s="5">
        <v>2016</v>
      </c>
      <c r="J372" s="12">
        <v>15.8</v>
      </c>
      <c r="K372" s="13">
        <v>48</v>
      </c>
    </row>
    <row r="373" spans="1:11" x14ac:dyDescent="0.25">
      <c r="A373" s="6" t="s">
        <v>423</v>
      </c>
      <c r="B373" s="6" t="s">
        <v>29</v>
      </c>
      <c r="C373" s="6" t="s">
        <v>34</v>
      </c>
      <c r="D373" s="6" t="s">
        <v>31</v>
      </c>
      <c r="E373" s="14">
        <v>1.4</v>
      </c>
      <c r="F373" s="8">
        <v>44588</v>
      </c>
      <c r="G373" s="9">
        <v>2022</v>
      </c>
      <c r="H373" s="7" t="s">
        <v>37</v>
      </c>
      <c r="I373" s="9">
        <v>2018</v>
      </c>
      <c r="J373" s="14">
        <v>11.8</v>
      </c>
      <c r="K373" s="15">
        <v>30</v>
      </c>
    </row>
    <row r="374" spans="1:11" x14ac:dyDescent="0.25">
      <c r="A374" s="2" t="s">
        <v>424</v>
      </c>
      <c r="B374" s="2" t="s">
        <v>76</v>
      </c>
      <c r="C374" s="2" t="s">
        <v>18</v>
      </c>
      <c r="D374" s="2" t="s">
        <v>35</v>
      </c>
      <c r="E374" s="12">
        <v>187.4</v>
      </c>
      <c r="F374" s="4">
        <v>44597</v>
      </c>
      <c r="G374" s="5">
        <v>2022</v>
      </c>
      <c r="H374" s="3" t="s">
        <v>50</v>
      </c>
      <c r="I374" s="5">
        <v>2017</v>
      </c>
      <c r="J374" s="12">
        <v>1098.5</v>
      </c>
      <c r="K374" s="13">
        <v>3073</v>
      </c>
    </row>
    <row r="375" spans="1:11" x14ac:dyDescent="0.25">
      <c r="A375" s="6" t="s">
        <v>425</v>
      </c>
      <c r="B375" s="6" t="s">
        <v>17</v>
      </c>
      <c r="C375" s="6" t="s">
        <v>13</v>
      </c>
      <c r="D375" s="6" t="s">
        <v>26</v>
      </c>
      <c r="E375" s="14">
        <v>49.4</v>
      </c>
      <c r="F375" s="8">
        <v>44599</v>
      </c>
      <c r="G375" s="9">
        <v>2022</v>
      </c>
      <c r="H375" s="7" t="s">
        <v>23</v>
      </c>
      <c r="I375" s="9">
        <v>2012</v>
      </c>
      <c r="J375" s="14">
        <v>357.6</v>
      </c>
      <c r="K375" s="15">
        <v>723</v>
      </c>
    </row>
    <row r="376" spans="1:11" x14ac:dyDescent="0.25">
      <c r="A376" s="2" t="s">
        <v>426</v>
      </c>
      <c r="B376" s="2" t="s">
        <v>42</v>
      </c>
      <c r="C376" s="2" t="s">
        <v>34</v>
      </c>
      <c r="D376" s="2" t="s">
        <v>19</v>
      </c>
      <c r="E376" s="12">
        <v>138.4</v>
      </c>
      <c r="F376" s="4">
        <v>44606</v>
      </c>
      <c r="G376" s="5">
        <v>2022</v>
      </c>
      <c r="H376" s="3" t="s">
        <v>23</v>
      </c>
      <c r="I376" s="5">
        <v>2018</v>
      </c>
      <c r="J376" s="12">
        <v>1318.5</v>
      </c>
      <c r="K376" s="13">
        <v>4228</v>
      </c>
    </row>
    <row r="377" spans="1:11" x14ac:dyDescent="0.25">
      <c r="A377" s="6" t="s">
        <v>427</v>
      </c>
      <c r="B377" s="6" t="s">
        <v>17</v>
      </c>
      <c r="C377" s="6" t="s">
        <v>25</v>
      </c>
      <c r="D377" s="6" t="s">
        <v>31</v>
      </c>
      <c r="E377" s="14">
        <v>2.7</v>
      </c>
      <c r="F377" s="8">
        <v>44607</v>
      </c>
      <c r="G377" s="9">
        <v>2022</v>
      </c>
      <c r="H377" s="7" t="s">
        <v>53</v>
      </c>
      <c r="I377" s="9">
        <v>2017</v>
      </c>
      <c r="J377" s="14">
        <v>20.7</v>
      </c>
      <c r="K377" s="15">
        <v>76</v>
      </c>
    </row>
    <row r="378" spans="1:11" x14ac:dyDescent="0.25">
      <c r="A378" s="2" t="s">
        <v>428</v>
      </c>
      <c r="B378" s="2" t="s">
        <v>12</v>
      </c>
      <c r="C378" s="2" t="s">
        <v>63</v>
      </c>
      <c r="D378" s="2" t="s">
        <v>14</v>
      </c>
      <c r="E378" s="12">
        <v>5.2</v>
      </c>
      <c r="F378" s="4">
        <v>44616</v>
      </c>
      <c r="G378" s="5">
        <v>2022</v>
      </c>
      <c r="H378" s="3" t="s">
        <v>107</v>
      </c>
      <c r="I378" s="5">
        <v>2015</v>
      </c>
      <c r="J378" s="12">
        <v>38.9</v>
      </c>
      <c r="K378" s="13">
        <v>103</v>
      </c>
    </row>
    <row r="379" spans="1:11" x14ac:dyDescent="0.25">
      <c r="A379" s="6" t="s">
        <v>429</v>
      </c>
      <c r="B379" s="6" t="s">
        <v>29</v>
      </c>
      <c r="C379" s="6" t="s">
        <v>25</v>
      </c>
      <c r="D379" s="6" t="s">
        <v>14</v>
      </c>
      <c r="E379" s="14">
        <v>6.2</v>
      </c>
      <c r="F379" s="8">
        <v>44617</v>
      </c>
      <c r="G379" s="9">
        <v>2022</v>
      </c>
      <c r="H379" s="7" t="s">
        <v>15</v>
      </c>
      <c r="I379" s="9">
        <v>2016</v>
      </c>
      <c r="J379" s="14">
        <v>42.5</v>
      </c>
      <c r="K379" s="15">
        <v>152</v>
      </c>
    </row>
    <row r="380" spans="1:11" x14ac:dyDescent="0.25">
      <c r="A380" s="2" t="s">
        <v>430</v>
      </c>
      <c r="B380" s="2" t="s">
        <v>42</v>
      </c>
      <c r="C380" s="2" t="s">
        <v>18</v>
      </c>
      <c r="D380" s="2" t="s">
        <v>31</v>
      </c>
      <c r="E380" s="12">
        <v>2.2999999999999998</v>
      </c>
      <c r="F380" s="4">
        <v>44622</v>
      </c>
      <c r="G380" s="5">
        <v>2022</v>
      </c>
      <c r="H380" s="3" t="s">
        <v>45</v>
      </c>
      <c r="I380" s="5">
        <v>2015</v>
      </c>
      <c r="J380" s="12">
        <v>20.399999999999999</v>
      </c>
      <c r="K380" s="13">
        <v>63</v>
      </c>
    </row>
    <row r="381" spans="1:11" x14ac:dyDescent="0.25">
      <c r="A381" s="6" t="s">
        <v>431</v>
      </c>
      <c r="B381" s="6" t="s">
        <v>17</v>
      </c>
      <c r="C381" s="6" t="s">
        <v>13</v>
      </c>
      <c r="D381" s="6" t="s">
        <v>14</v>
      </c>
      <c r="E381" s="14">
        <v>9.1</v>
      </c>
      <c r="F381" s="8">
        <v>44629</v>
      </c>
      <c r="G381" s="9">
        <v>2022</v>
      </c>
      <c r="H381" s="7" t="s">
        <v>123</v>
      </c>
      <c r="I381" s="9">
        <v>2013</v>
      </c>
      <c r="J381" s="14">
        <v>70.5</v>
      </c>
      <c r="K381" s="15">
        <v>107</v>
      </c>
    </row>
    <row r="382" spans="1:11" x14ac:dyDescent="0.25">
      <c r="A382" s="2" t="s">
        <v>432</v>
      </c>
      <c r="B382" s="2" t="s">
        <v>29</v>
      </c>
      <c r="C382" s="2" t="s">
        <v>13</v>
      </c>
      <c r="D382" s="2" t="s">
        <v>31</v>
      </c>
      <c r="E382" s="12">
        <v>1</v>
      </c>
      <c r="F382" s="4">
        <v>44630</v>
      </c>
      <c r="G382" s="5">
        <v>2022</v>
      </c>
      <c r="H382" s="3" t="s">
        <v>60</v>
      </c>
      <c r="I382" s="5">
        <v>2019</v>
      </c>
      <c r="J382" s="12">
        <v>7.6</v>
      </c>
      <c r="K382" s="13">
        <v>22</v>
      </c>
    </row>
    <row r="383" spans="1:11" x14ac:dyDescent="0.25">
      <c r="A383" s="6" t="s">
        <v>433</v>
      </c>
      <c r="B383" s="6" t="s">
        <v>42</v>
      </c>
      <c r="C383" s="6" t="s">
        <v>63</v>
      </c>
      <c r="D383" s="6" t="s">
        <v>26</v>
      </c>
      <c r="E383" s="14">
        <v>28.6</v>
      </c>
      <c r="F383" s="8">
        <v>44630</v>
      </c>
      <c r="G383" s="9">
        <v>2022</v>
      </c>
      <c r="H383" s="7" t="s">
        <v>65</v>
      </c>
      <c r="I383" s="9">
        <v>2013</v>
      </c>
      <c r="J383" s="14">
        <v>222.9</v>
      </c>
      <c r="K383" s="15">
        <v>665</v>
      </c>
    </row>
    <row r="384" spans="1:11" x14ac:dyDescent="0.25">
      <c r="A384" s="2" t="s">
        <v>434</v>
      </c>
      <c r="B384" s="2" t="s">
        <v>29</v>
      </c>
      <c r="C384" s="2" t="s">
        <v>13</v>
      </c>
      <c r="D384" s="2" t="s">
        <v>26</v>
      </c>
      <c r="E384" s="12">
        <v>35.1</v>
      </c>
      <c r="F384" s="4">
        <v>44630</v>
      </c>
      <c r="G384" s="5">
        <v>2022</v>
      </c>
      <c r="H384" s="3" t="s">
        <v>123</v>
      </c>
      <c r="I384" s="5">
        <v>2014</v>
      </c>
      <c r="J384" s="12">
        <v>244.9</v>
      </c>
      <c r="K384" s="13">
        <v>770</v>
      </c>
    </row>
    <row r="385" spans="1:11" x14ac:dyDescent="0.25">
      <c r="A385" s="6" t="s">
        <v>435</v>
      </c>
      <c r="B385" s="6" t="s">
        <v>42</v>
      </c>
      <c r="C385" s="6" t="s">
        <v>18</v>
      </c>
      <c r="D385" s="6" t="s">
        <v>31</v>
      </c>
      <c r="E385" s="14">
        <v>4.4000000000000004</v>
      </c>
      <c r="F385" s="8">
        <v>44639</v>
      </c>
      <c r="G385" s="9">
        <v>2022</v>
      </c>
      <c r="H385" s="7" t="s">
        <v>50</v>
      </c>
      <c r="I385" s="9">
        <v>2014</v>
      </c>
      <c r="J385" s="14">
        <v>27</v>
      </c>
      <c r="K385" s="15">
        <v>43</v>
      </c>
    </row>
    <row r="386" spans="1:11" x14ac:dyDescent="0.25">
      <c r="A386" s="2" t="s">
        <v>436</v>
      </c>
      <c r="B386" s="2" t="s">
        <v>39</v>
      </c>
      <c r="C386" s="2" t="s">
        <v>40</v>
      </c>
      <c r="D386" s="2" t="s">
        <v>14</v>
      </c>
      <c r="E386" s="12">
        <v>6</v>
      </c>
      <c r="F386" s="4">
        <v>44642</v>
      </c>
      <c r="G386" s="5">
        <v>2022</v>
      </c>
      <c r="H386" s="3" t="s">
        <v>65</v>
      </c>
      <c r="I386" s="5">
        <v>2019</v>
      </c>
      <c r="J386" s="12">
        <v>37.5</v>
      </c>
      <c r="K386" s="13">
        <v>109</v>
      </c>
    </row>
    <row r="387" spans="1:11" x14ac:dyDescent="0.25">
      <c r="A387" s="6" t="s">
        <v>437</v>
      </c>
      <c r="B387" s="6" t="s">
        <v>17</v>
      </c>
      <c r="C387" s="6" t="s">
        <v>34</v>
      </c>
      <c r="D387" s="6" t="s">
        <v>31</v>
      </c>
      <c r="E387" s="14">
        <v>2.4</v>
      </c>
      <c r="F387" s="8">
        <v>44644</v>
      </c>
      <c r="G387" s="9">
        <v>2022</v>
      </c>
      <c r="H387" s="7" t="s">
        <v>65</v>
      </c>
      <c r="I387" s="9">
        <v>2021</v>
      </c>
      <c r="J387" s="14">
        <v>16.3</v>
      </c>
      <c r="K387" s="15">
        <v>63</v>
      </c>
    </row>
    <row r="388" spans="1:11" x14ac:dyDescent="0.25">
      <c r="A388" s="2" t="s">
        <v>438</v>
      </c>
      <c r="B388" s="2" t="s">
        <v>33</v>
      </c>
      <c r="C388" s="2" t="s">
        <v>25</v>
      </c>
      <c r="D388" s="2" t="s">
        <v>26</v>
      </c>
      <c r="E388" s="12">
        <v>15.4</v>
      </c>
      <c r="F388" s="4">
        <v>44645</v>
      </c>
      <c r="G388" s="5">
        <v>2022</v>
      </c>
      <c r="H388" s="3" t="s">
        <v>53</v>
      </c>
      <c r="I388" s="5">
        <v>2019</v>
      </c>
      <c r="J388" s="12">
        <v>65</v>
      </c>
      <c r="K388" s="13">
        <v>209</v>
      </c>
    </row>
    <row r="389" spans="1:11" x14ac:dyDescent="0.25">
      <c r="A389" s="6" t="s">
        <v>439</v>
      </c>
      <c r="B389" s="6" t="s">
        <v>47</v>
      </c>
      <c r="C389" s="6" t="s">
        <v>63</v>
      </c>
      <c r="D389" s="6" t="s">
        <v>31</v>
      </c>
      <c r="E389" s="14">
        <v>3.5</v>
      </c>
      <c r="F389" s="8">
        <v>44648</v>
      </c>
      <c r="G389" s="9">
        <v>2022</v>
      </c>
      <c r="H389" s="7" t="s">
        <v>53</v>
      </c>
      <c r="I389" s="9">
        <v>2016</v>
      </c>
      <c r="J389" s="14">
        <v>16.3</v>
      </c>
      <c r="K389" s="15">
        <v>32</v>
      </c>
    </row>
    <row r="390" spans="1:11" x14ac:dyDescent="0.25">
      <c r="A390" s="2" t="s">
        <v>440</v>
      </c>
      <c r="B390" s="2" t="s">
        <v>42</v>
      </c>
      <c r="C390" s="2" t="s">
        <v>25</v>
      </c>
      <c r="D390" s="2" t="s">
        <v>35</v>
      </c>
      <c r="E390" s="12">
        <v>317.10000000000002</v>
      </c>
      <c r="F390" s="4">
        <v>44649</v>
      </c>
      <c r="G390" s="5">
        <v>2022</v>
      </c>
      <c r="H390" s="3" t="s">
        <v>107</v>
      </c>
      <c r="I390" s="5">
        <v>2014</v>
      </c>
      <c r="J390" s="12">
        <v>3292.7</v>
      </c>
      <c r="K390" s="13">
        <v>8397</v>
      </c>
    </row>
    <row r="391" spans="1:11" x14ac:dyDescent="0.25">
      <c r="A391" s="6" t="s">
        <v>441</v>
      </c>
      <c r="B391" s="6" t="s">
        <v>29</v>
      </c>
      <c r="C391" s="6" t="s">
        <v>13</v>
      </c>
      <c r="D391" s="6" t="s">
        <v>14</v>
      </c>
      <c r="E391" s="14">
        <v>12.8</v>
      </c>
      <c r="F391" s="8">
        <v>44649</v>
      </c>
      <c r="G391" s="9">
        <v>2022</v>
      </c>
      <c r="H391" s="7" t="s">
        <v>60</v>
      </c>
      <c r="I391" s="9">
        <v>2017</v>
      </c>
      <c r="J391" s="14">
        <v>45.9</v>
      </c>
      <c r="K391" s="15">
        <v>99</v>
      </c>
    </row>
    <row r="392" spans="1:11" x14ac:dyDescent="0.25">
      <c r="A392" s="2" t="s">
        <v>442</v>
      </c>
      <c r="B392" s="2" t="s">
        <v>29</v>
      </c>
      <c r="C392" s="2" t="s">
        <v>18</v>
      </c>
      <c r="D392" s="2" t="s">
        <v>19</v>
      </c>
      <c r="E392" s="12">
        <v>126.1</v>
      </c>
      <c r="F392" s="4">
        <v>44651</v>
      </c>
      <c r="G392" s="5">
        <v>2022</v>
      </c>
      <c r="H392" s="3" t="s">
        <v>55</v>
      </c>
      <c r="I392" s="5">
        <v>2014</v>
      </c>
      <c r="J392" s="12">
        <v>920.8</v>
      </c>
      <c r="K392" s="13">
        <v>1430</v>
      </c>
    </row>
    <row r="393" spans="1:11" x14ac:dyDescent="0.25">
      <c r="A393" s="6" t="s">
        <v>443</v>
      </c>
      <c r="B393" s="6" t="s">
        <v>76</v>
      </c>
      <c r="C393" s="6" t="s">
        <v>18</v>
      </c>
      <c r="D393" s="6" t="s">
        <v>35</v>
      </c>
      <c r="E393" s="14">
        <v>211.7</v>
      </c>
      <c r="F393" s="8">
        <v>44658</v>
      </c>
      <c r="G393" s="9">
        <v>2022</v>
      </c>
      <c r="H393" s="7" t="s">
        <v>23</v>
      </c>
      <c r="I393" s="9">
        <v>2015</v>
      </c>
      <c r="J393" s="14">
        <v>1910.7</v>
      </c>
      <c r="K393" s="15">
        <v>6182</v>
      </c>
    </row>
    <row r="394" spans="1:11" x14ac:dyDescent="0.25">
      <c r="A394" s="2" t="s">
        <v>444</v>
      </c>
      <c r="B394" s="2" t="s">
        <v>47</v>
      </c>
      <c r="C394" s="2" t="s">
        <v>34</v>
      </c>
      <c r="D394" s="2" t="s">
        <v>35</v>
      </c>
      <c r="E394" s="12">
        <v>295.60000000000002</v>
      </c>
      <c r="F394" s="4">
        <v>44658</v>
      </c>
      <c r="G394" s="5">
        <v>2022</v>
      </c>
      <c r="H394" s="3" t="s">
        <v>15</v>
      </c>
      <c r="I394" s="5">
        <v>2020</v>
      </c>
      <c r="J394" s="12">
        <v>1496.5</v>
      </c>
      <c r="K394" s="13">
        <v>4295</v>
      </c>
    </row>
    <row r="395" spans="1:11" x14ac:dyDescent="0.25">
      <c r="A395" s="6" t="s">
        <v>445</v>
      </c>
      <c r="B395" s="6" t="s">
        <v>76</v>
      </c>
      <c r="C395" s="6" t="s">
        <v>34</v>
      </c>
      <c r="D395" s="6" t="s">
        <v>19</v>
      </c>
      <c r="E395" s="14">
        <v>63.4</v>
      </c>
      <c r="F395" s="8">
        <v>44662</v>
      </c>
      <c r="G395" s="9">
        <v>2022</v>
      </c>
      <c r="H395" s="7" t="s">
        <v>53</v>
      </c>
      <c r="I395" s="9">
        <v>2020</v>
      </c>
      <c r="J395" s="14">
        <v>486.1</v>
      </c>
      <c r="K395" s="15">
        <v>1500</v>
      </c>
    </row>
    <row r="396" spans="1:11" x14ac:dyDescent="0.25">
      <c r="A396" s="2" t="s">
        <v>446</v>
      </c>
      <c r="B396" s="2" t="s">
        <v>17</v>
      </c>
      <c r="C396" s="2" t="s">
        <v>71</v>
      </c>
      <c r="D396" s="2" t="s">
        <v>19</v>
      </c>
      <c r="E396" s="12">
        <v>70.900000000000006</v>
      </c>
      <c r="F396" s="4">
        <v>44673</v>
      </c>
      <c r="G396" s="5">
        <v>2022</v>
      </c>
      <c r="H396" s="3" t="s">
        <v>23</v>
      </c>
      <c r="I396" s="5">
        <v>2017</v>
      </c>
      <c r="J396" s="12">
        <v>611.9</v>
      </c>
      <c r="K396" s="13">
        <v>2432</v>
      </c>
    </row>
    <row r="397" spans="1:11" x14ac:dyDescent="0.25">
      <c r="A397" s="6" t="s">
        <v>447</v>
      </c>
      <c r="B397" s="6" t="s">
        <v>29</v>
      </c>
      <c r="C397" s="6" t="s">
        <v>13</v>
      </c>
      <c r="D397" s="6" t="s">
        <v>31</v>
      </c>
      <c r="E397" s="14">
        <v>2.2000000000000002</v>
      </c>
      <c r="F397" s="8">
        <v>44676</v>
      </c>
      <c r="G397" s="9">
        <v>2022</v>
      </c>
      <c r="H397" s="7" t="s">
        <v>20</v>
      </c>
      <c r="I397" s="9">
        <v>2020</v>
      </c>
      <c r="J397" s="14">
        <v>20.7</v>
      </c>
      <c r="K397" s="15">
        <v>36</v>
      </c>
    </row>
    <row r="398" spans="1:11" x14ac:dyDescent="0.25">
      <c r="A398" s="2" t="s">
        <v>448</v>
      </c>
      <c r="B398" s="2" t="s">
        <v>12</v>
      </c>
      <c r="C398" s="2" t="s">
        <v>13</v>
      </c>
      <c r="D398" s="2" t="s">
        <v>31</v>
      </c>
      <c r="E398" s="12">
        <v>2.6</v>
      </c>
      <c r="F398" s="4">
        <v>44679</v>
      </c>
      <c r="G398" s="5">
        <v>2022</v>
      </c>
      <c r="H398" s="3" t="s">
        <v>60</v>
      </c>
      <c r="I398" s="5">
        <v>2020</v>
      </c>
      <c r="J398" s="12">
        <v>14.5</v>
      </c>
      <c r="K398" s="13">
        <v>44</v>
      </c>
    </row>
    <row r="399" spans="1:11" x14ac:dyDescent="0.25">
      <c r="A399" s="6" t="s">
        <v>449</v>
      </c>
      <c r="B399" s="6" t="s">
        <v>22</v>
      </c>
      <c r="C399" s="6" t="s">
        <v>40</v>
      </c>
      <c r="D399" s="6" t="s">
        <v>31</v>
      </c>
      <c r="E399" s="14">
        <v>1.6</v>
      </c>
      <c r="F399" s="8">
        <v>44679</v>
      </c>
      <c r="G399" s="9">
        <v>2022</v>
      </c>
      <c r="H399" s="7" t="s">
        <v>53</v>
      </c>
      <c r="I399" s="9">
        <v>2012</v>
      </c>
      <c r="J399" s="14">
        <v>10</v>
      </c>
      <c r="K399" s="15">
        <v>33</v>
      </c>
    </row>
    <row r="400" spans="1:11" x14ac:dyDescent="0.25">
      <c r="A400" s="2" t="s">
        <v>450</v>
      </c>
      <c r="B400" s="2" t="s">
        <v>47</v>
      </c>
      <c r="C400" s="2" t="s">
        <v>13</v>
      </c>
      <c r="D400" s="2" t="s">
        <v>31</v>
      </c>
      <c r="E400" s="12">
        <v>0.8</v>
      </c>
      <c r="F400" s="4">
        <v>44680</v>
      </c>
      <c r="G400" s="5">
        <v>2022</v>
      </c>
      <c r="H400" s="3" t="s">
        <v>45</v>
      </c>
      <c r="I400" s="5">
        <v>2017</v>
      </c>
      <c r="J400" s="12">
        <v>6.8</v>
      </c>
      <c r="K400" s="13">
        <v>14</v>
      </c>
    </row>
    <row r="401" spans="1:11" x14ac:dyDescent="0.25">
      <c r="A401" s="6" t="s">
        <v>451</v>
      </c>
      <c r="B401" s="6" t="s">
        <v>42</v>
      </c>
      <c r="C401" s="6" t="s">
        <v>34</v>
      </c>
      <c r="D401" s="6" t="s">
        <v>26</v>
      </c>
      <c r="E401" s="14">
        <v>30.3</v>
      </c>
      <c r="F401" s="8">
        <v>44682</v>
      </c>
      <c r="G401" s="9">
        <v>2022</v>
      </c>
      <c r="H401" s="7" t="s">
        <v>60</v>
      </c>
      <c r="I401" s="9">
        <v>2015</v>
      </c>
      <c r="J401" s="14">
        <v>173.5</v>
      </c>
      <c r="K401" s="15">
        <v>352</v>
      </c>
    </row>
    <row r="402" spans="1:11" x14ac:dyDescent="0.25">
      <c r="A402" s="2" t="s">
        <v>452</v>
      </c>
      <c r="B402" s="2" t="s">
        <v>42</v>
      </c>
      <c r="C402" s="2" t="s">
        <v>18</v>
      </c>
      <c r="D402" s="2" t="s">
        <v>14</v>
      </c>
      <c r="E402" s="12">
        <v>9.9</v>
      </c>
      <c r="F402" s="4">
        <v>44689</v>
      </c>
      <c r="G402" s="5">
        <v>2022</v>
      </c>
      <c r="H402" s="3" t="s">
        <v>45</v>
      </c>
      <c r="I402" s="5">
        <v>2013</v>
      </c>
      <c r="J402" s="12">
        <v>56.5</v>
      </c>
      <c r="K402" s="13">
        <v>95</v>
      </c>
    </row>
    <row r="403" spans="1:11" x14ac:dyDescent="0.25">
      <c r="A403" s="6" t="s">
        <v>453</v>
      </c>
      <c r="B403" s="6" t="s">
        <v>67</v>
      </c>
      <c r="C403" s="6" t="s">
        <v>63</v>
      </c>
      <c r="D403" s="6" t="s">
        <v>31</v>
      </c>
      <c r="E403" s="14">
        <v>2.5</v>
      </c>
      <c r="F403" s="8">
        <v>44691</v>
      </c>
      <c r="G403" s="9">
        <v>2022</v>
      </c>
      <c r="H403" s="7" t="s">
        <v>45</v>
      </c>
      <c r="I403" s="9">
        <v>2015</v>
      </c>
      <c r="J403" s="14">
        <v>13.4</v>
      </c>
      <c r="K403" s="15">
        <v>39</v>
      </c>
    </row>
    <row r="404" spans="1:11" x14ac:dyDescent="0.25">
      <c r="A404" s="2" t="s">
        <v>454</v>
      </c>
      <c r="B404" s="2" t="s">
        <v>17</v>
      </c>
      <c r="C404" s="2" t="s">
        <v>34</v>
      </c>
      <c r="D404" s="2" t="s">
        <v>14</v>
      </c>
      <c r="E404" s="12">
        <v>14.3</v>
      </c>
      <c r="F404" s="4">
        <v>44692</v>
      </c>
      <c r="G404" s="5">
        <v>2022</v>
      </c>
      <c r="H404" s="3" t="s">
        <v>55</v>
      </c>
      <c r="I404" s="5">
        <v>2014</v>
      </c>
      <c r="J404" s="12">
        <v>107</v>
      </c>
      <c r="K404" s="13">
        <v>198</v>
      </c>
    </row>
    <row r="405" spans="1:11" x14ac:dyDescent="0.25">
      <c r="A405" s="6" t="s">
        <v>455</v>
      </c>
      <c r="B405" s="6" t="s">
        <v>47</v>
      </c>
      <c r="C405" s="6" t="s">
        <v>13</v>
      </c>
      <c r="D405" s="6" t="s">
        <v>26</v>
      </c>
      <c r="E405" s="14">
        <v>38</v>
      </c>
      <c r="F405" s="8">
        <v>44694</v>
      </c>
      <c r="G405" s="9">
        <v>2022</v>
      </c>
      <c r="H405" s="7" t="s">
        <v>23</v>
      </c>
      <c r="I405" s="9">
        <v>2012</v>
      </c>
      <c r="J405" s="14">
        <v>232.2</v>
      </c>
      <c r="K405" s="15">
        <v>406</v>
      </c>
    </row>
    <row r="406" spans="1:11" x14ac:dyDescent="0.25">
      <c r="A406" s="2" t="s">
        <v>456</v>
      </c>
      <c r="B406" s="2" t="s">
        <v>76</v>
      </c>
      <c r="C406" s="2" t="s">
        <v>40</v>
      </c>
      <c r="D406" s="2" t="s">
        <v>14</v>
      </c>
      <c r="E406" s="12">
        <v>5</v>
      </c>
      <c r="F406" s="4">
        <v>44696</v>
      </c>
      <c r="G406" s="5">
        <v>2022</v>
      </c>
      <c r="H406" s="3" t="s">
        <v>58</v>
      </c>
      <c r="I406" s="5">
        <v>2022</v>
      </c>
      <c r="J406" s="12">
        <v>35.5</v>
      </c>
      <c r="K406" s="13">
        <v>69</v>
      </c>
    </row>
    <row r="407" spans="1:11" x14ac:dyDescent="0.25">
      <c r="A407" s="6" t="s">
        <v>457</v>
      </c>
      <c r="B407" s="6" t="s">
        <v>22</v>
      </c>
      <c r="C407" s="6" t="s">
        <v>18</v>
      </c>
      <c r="D407" s="6" t="s">
        <v>31</v>
      </c>
      <c r="E407" s="14">
        <v>1.5</v>
      </c>
      <c r="F407" s="8">
        <v>44697</v>
      </c>
      <c r="G407" s="9">
        <v>2022</v>
      </c>
      <c r="H407" s="7" t="s">
        <v>60</v>
      </c>
      <c r="I407" s="9">
        <v>2013</v>
      </c>
      <c r="J407" s="14">
        <v>13.3</v>
      </c>
      <c r="K407" s="15">
        <v>52</v>
      </c>
    </row>
    <row r="408" spans="1:11" x14ac:dyDescent="0.25">
      <c r="A408" s="2" t="s">
        <v>458</v>
      </c>
      <c r="B408" s="2" t="s">
        <v>42</v>
      </c>
      <c r="C408" s="2" t="s">
        <v>34</v>
      </c>
      <c r="D408" s="2" t="s">
        <v>26</v>
      </c>
      <c r="E408" s="12">
        <v>30.2</v>
      </c>
      <c r="F408" s="4">
        <v>44700</v>
      </c>
      <c r="G408" s="5">
        <v>2022</v>
      </c>
      <c r="H408" s="3" t="s">
        <v>55</v>
      </c>
      <c r="I408" s="5">
        <v>2021</v>
      </c>
      <c r="J408" s="12">
        <v>126.7</v>
      </c>
      <c r="K408" s="13">
        <v>239</v>
      </c>
    </row>
    <row r="409" spans="1:11" x14ac:dyDescent="0.25">
      <c r="A409" s="6" t="s">
        <v>459</v>
      </c>
      <c r="B409" s="6" t="s">
        <v>42</v>
      </c>
      <c r="C409" s="6" t="s">
        <v>63</v>
      </c>
      <c r="D409" s="6" t="s">
        <v>35</v>
      </c>
      <c r="E409" s="14">
        <v>284.3</v>
      </c>
      <c r="F409" s="8">
        <v>44700</v>
      </c>
      <c r="G409" s="9">
        <v>2022</v>
      </c>
      <c r="H409" s="7" t="s">
        <v>60</v>
      </c>
      <c r="I409" s="9">
        <v>2016</v>
      </c>
      <c r="J409" s="14">
        <v>1844.6</v>
      </c>
      <c r="K409" s="15">
        <v>5404</v>
      </c>
    </row>
    <row r="410" spans="1:11" x14ac:dyDescent="0.25">
      <c r="A410" s="2" t="s">
        <v>460</v>
      </c>
      <c r="B410" s="2" t="s">
        <v>29</v>
      </c>
      <c r="C410" s="2" t="s">
        <v>40</v>
      </c>
      <c r="D410" s="2" t="s">
        <v>31</v>
      </c>
      <c r="E410" s="12">
        <v>2.2000000000000002</v>
      </c>
      <c r="F410" s="4">
        <v>44701</v>
      </c>
      <c r="G410" s="5">
        <v>2022</v>
      </c>
      <c r="H410" s="3" t="s">
        <v>27</v>
      </c>
      <c r="I410" s="5">
        <v>2014</v>
      </c>
      <c r="J410" s="12">
        <v>19.2</v>
      </c>
      <c r="K410" s="13">
        <v>30</v>
      </c>
    </row>
    <row r="411" spans="1:11" x14ac:dyDescent="0.25">
      <c r="A411" s="6" t="s">
        <v>461</v>
      </c>
      <c r="B411" s="6" t="s">
        <v>47</v>
      </c>
      <c r="C411" s="6" t="s">
        <v>63</v>
      </c>
      <c r="D411" s="6" t="s">
        <v>14</v>
      </c>
      <c r="E411" s="14">
        <v>8.6999999999999993</v>
      </c>
      <c r="F411" s="8">
        <v>44701</v>
      </c>
      <c r="G411" s="9">
        <v>2022</v>
      </c>
      <c r="H411" s="7" t="s">
        <v>45</v>
      </c>
      <c r="I411" s="9">
        <v>2018</v>
      </c>
      <c r="J411" s="14">
        <v>61.8</v>
      </c>
      <c r="K411" s="15">
        <v>133</v>
      </c>
    </row>
    <row r="412" spans="1:11" x14ac:dyDescent="0.25">
      <c r="A412" s="2" t="s">
        <v>462</v>
      </c>
      <c r="B412" s="2" t="s">
        <v>22</v>
      </c>
      <c r="C412" s="2" t="s">
        <v>18</v>
      </c>
      <c r="D412" s="2" t="s">
        <v>31</v>
      </c>
      <c r="E412" s="12">
        <v>1.2</v>
      </c>
      <c r="F412" s="4">
        <v>44705</v>
      </c>
      <c r="G412" s="5">
        <v>2022</v>
      </c>
      <c r="H412" s="3" t="s">
        <v>55</v>
      </c>
      <c r="I412" s="5">
        <v>2022</v>
      </c>
      <c r="J412" s="12">
        <v>9.1999999999999993</v>
      </c>
      <c r="K412" s="13">
        <v>25</v>
      </c>
    </row>
    <row r="413" spans="1:11" x14ac:dyDescent="0.25">
      <c r="A413" s="6" t="s">
        <v>463</v>
      </c>
      <c r="B413" s="6" t="s">
        <v>100</v>
      </c>
      <c r="C413" s="6" t="s">
        <v>48</v>
      </c>
      <c r="D413" s="6" t="s">
        <v>14</v>
      </c>
      <c r="E413" s="14">
        <v>16</v>
      </c>
      <c r="F413" s="8">
        <v>44709</v>
      </c>
      <c r="G413" s="9">
        <v>2022</v>
      </c>
      <c r="H413" s="7" t="s">
        <v>58</v>
      </c>
      <c r="I413" s="9">
        <v>2018</v>
      </c>
      <c r="J413" s="14">
        <v>99.4</v>
      </c>
      <c r="K413" s="15">
        <v>387</v>
      </c>
    </row>
    <row r="414" spans="1:11" x14ac:dyDescent="0.25">
      <c r="A414" s="2" t="s">
        <v>464</v>
      </c>
      <c r="B414" s="2" t="s">
        <v>42</v>
      </c>
      <c r="C414" s="2" t="s">
        <v>48</v>
      </c>
      <c r="D414" s="2" t="s">
        <v>31</v>
      </c>
      <c r="E414" s="12">
        <v>3.9</v>
      </c>
      <c r="F414" s="4">
        <v>44713</v>
      </c>
      <c r="G414" s="5">
        <v>2022</v>
      </c>
      <c r="H414" s="3" t="s">
        <v>123</v>
      </c>
      <c r="I414" s="5">
        <v>2017</v>
      </c>
      <c r="J414" s="12">
        <v>28.7</v>
      </c>
      <c r="K414" s="13">
        <v>110</v>
      </c>
    </row>
    <row r="415" spans="1:11" x14ac:dyDescent="0.25">
      <c r="A415" s="6" t="s">
        <v>465</v>
      </c>
      <c r="B415" s="6" t="s">
        <v>33</v>
      </c>
      <c r="C415" s="6" t="s">
        <v>34</v>
      </c>
      <c r="D415" s="6" t="s">
        <v>14</v>
      </c>
      <c r="E415" s="14">
        <v>14.5</v>
      </c>
      <c r="F415" s="8">
        <v>44716</v>
      </c>
      <c r="G415" s="9">
        <v>2022</v>
      </c>
      <c r="H415" s="7" t="s">
        <v>123</v>
      </c>
      <c r="I415" s="9">
        <v>2022</v>
      </c>
      <c r="J415" s="14">
        <v>97</v>
      </c>
      <c r="K415" s="15">
        <v>311</v>
      </c>
    </row>
    <row r="416" spans="1:11" x14ac:dyDescent="0.25">
      <c r="A416" s="2" t="s">
        <v>466</v>
      </c>
      <c r="B416" s="2" t="s">
        <v>17</v>
      </c>
      <c r="C416" s="2" t="s">
        <v>30</v>
      </c>
      <c r="D416" s="2" t="s">
        <v>26</v>
      </c>
      <c r="E416" s="12">
        <v>21.5</v>
      </c>
      <c r="F416" s="4">
        <v>44716</v>
      </c>
      <c r="G416" s="5">
        <v>2022</v>
      </c>
      <c r="H416" s="3" t="s">
        <v>60</v>
      </c>
      <c r="I416" s="5">
        <v>2016</v>
      </c>
      <c r="J416" s="12">
        <v>171.1</v>
      </c>
      <c r="K416" s="13">
        <v>584</v>
      </c>
    </row>
    <row r="417" spans="1:11" x14ac:dyDescent="0.25">
      <c r="A417" s="6" t="s">
        <v>467</v>
      </c>
      <c r="B417" s="6" t="s">
        <v>42</v>
      </c>
      <c r="C417" s="6" t="s">
        <v>18</v>
      </c>
      <c r="D417" s="6" t="s">
        <v>26</v>
      </c>
      <c r="E417" s="14">
        <v>23.6</v>
      </c>
      <c r="F417" s="8">
        <v>44718</v>
      </c>
      <c r="G417" s="9">
        <v>2022</v>
      </c>
      <c r="H417" s="7" t="s">
        <v>23</v>
      </c>
      <c r="I417" s="9">
        <v>2020</v>
      </c>
      <c r="J417" s="14">
        <v>155.69999999999999</v>
      </c>
      <c r="K417" s="15">
        <v>296</v>
      </c>
    </row>
    <row r="418" spans="1:11" x14ac:dyDescent="0.25">
      <c r="A418" s="2" t="s">
        <v>468</v>
      </c>
      <c r="B418" s="2" t="s">
        <v>104</v>
      </c>
      <c r="C418" s="2" t="s">
        <v>63</v>
      </c>
      <c r="D418" s="2" t="s">
        <v>19</v>
      </c>
      <c r="E418" s="12">
        <v>77.8</v>
      </c>
      <c r="F418" s="4">
        <v>44726</v>
      </c>
      <c r="G418" s="5">
        <v>2022</v>
      </c>
      <c r="H418" s="3" t="s">
        <v>23</v>
      </c>
      <c r="I418" s="5">
        <v>2015</v>
      </c>
      <c r="J418" s="12">
        <v>491.3</v>
      </c>
      <c r="K418" s="13">
        <v>1455</v>
      </c>
    </row>
    <row r="419" spans="1:11" x14ac:dyDescent="0.25">
      <c r="A419" s="6" t="s">
        <v>469</v>
      </c>
      <c r="B419" s="6" t="s">
        <v>47</v>
      </c>
      <c r="C419" s="6" t="s">
        <v>18</v>
      </c>
      <c r="D419" s="6" t="s">
        <v>26</v>
      </c>
      <c r="E419" s="14">
        <v>33.9</v>
      </c>
      <c r="F419" s="8">
        <v>44727</v>
      </c>
      <c r="G419" s="9">
        <v>2022</v>
      </c>
      <c r="H419" s="7" t="s">
        <v>43</v>
      </c>
      <c r="I419" s="9">
        <v>2015</v>
      </c>
      <c r="J419" s="14">
        <v>120.2</v>
      </c>
      <c r="K419" s="15">
        <v>388</v>
      </c>
    </row>
    <row r="420" spans="1:11" x14ac:dyDescent="0.25">
      <c r="A420" s="2" t="s">
        <v>470</v>
      </c>
      <c r="B420" s="2" t="s">
        <v>29</v>
      </c>
      <c r="C420" s="2" t="s">
        <v>18</v>
      </c>
      <c r="D420" s="2" t="s">
        <v>19</v>
      </c>
      <c r="E420" s="12">
        <v>57.6</v>
      </c>
      <c r="F420" s="4">
        <v>44731</v>
      </c>
      <c r="G420" s="5">
        <v>2022</v>
      </c>
      <c r="H420" s="3" t="s">
        <v>37</v>
      </c>
      <c r="I420" s="5">
        <v>2019</v>
      </c>
      <c r="J420" s="12">
        <v>541.4</v>
      </c>
      <c r="K420" s="13">
        <v>1030</v>
      </c>
    </row>
    <row r="421" spans="1:11" x14ac:dyDescent="0.25">
      <c r="A421" s="6" t="s">
        <v>471</v>
      </c>
      <c r="B421" s="6" t="s">
        <v>76</v>
      </c>
      <c r="C421" s="6" t="s">
        <v>34</v>
      </c>
      <c r="D421" s="6" t="s">
        <v>31</v>
      </c>
      <c r="E421" s="14">
        <v>2.9</v>
      </c>
      <c r="F421" s="8">
        <v>44735</v>
      </c>
      <c r="G421" s="9">
        <v>2022</v>
      </c>
      <c r="H421" s="7" t="s">
        <v>65</v>
      </c>
      <c r="I421" s="9">
        <v>2016</v>
      </c>
      <c r="J421" s="14">
        <v>25.5</v>
      </c>
      <c r="K421" s="15">
        <v>74</v>
      </c>
    </row>
    <row r="422" spans="1:11" x14ac:dyDescent="0.25">
      <c r="A422" s="2" t="s">
        <v>472</v>
      </c>
      <c r="B422" s="2" t="s">
        <v>76</v>
      </c>
      <c r="C422" s="2" t="s">
        <v>13</v>
      </c>
      <c r="D422" s="2" t="s">
        <v>14</v>
      </c>
      <c r="E422" s="12">
        <v>12.4</v>
      </c>
      <c r="F422" s="4">
        <v>44737</v>
      </c>
      <c r="G422" s="5">
        <v>2022</v>
      </c>
      <c r="H422" s="3" t="s">
        <v>58</v>
      </c>
      <c r="I422" s="5">
        <v>2012</v>
      </c>
      <c r="J422" s="12">
        <v>56.9</v>
      </c>
      <c r="K422" s="13">
        <v>116</v>
      </c>
    </row>
    <row r="423" spans="1:11" x14ac:dyDescent="0.25">
      <c r="A423" s="6" t="s">
        <v>473</v>
      </c>
      <c r="B423" s="6" t="s">
        <v>17</v>
      </c>
      <c r="C423" s="6" t="s">
        <v>18</v>
      </c>
      <c r="D423" s="6" t="s">
        <v>14</v>
      </c>
      <c r="E423" s="14">
        <v>8.5</v>
      </c>
      <c r="F423" s="8">
        <v>44738</v>
      </c>
      <c r="G423" s="9">
        <v>2022</v>
      </c>
      <c r="H423" s="7" t="s">
        <v>15</v>
      </c>
      <c r="I423" s="9">
        <v>2014</v>
      </c>
      <c r="J423" s="14">
        <v>35</v>
      </c>
      <c r="K423" s="15">
        <v>114</v>
      </c>
    </row>
    <row r="424" spans="1:11" x14ac:dyDescent="0.25">
      <c r="A424" s="2" t="s">
        <v>474</v>
      </c>
      <c r="B424" s="2" t="s">
        <v>104</v>
      </c>
      <c r="C424" s="2" t="s">
        <v>63</v>
      </c>
      <c r="D424" s="2" t="s">
        <v>14</v>
      </c>
      <c r="E424" s="12">
        <v>13.5</v>
      </c>
      <c r="F424" s="4">
        <v>44752</v>
      </c>
      <c r="G424" s="5">
        <v>2022</v>
      </c>
      <c r="H424" s="3" t="s">
        <v>27</v>
      </c>
      <c r="I424" s="5">
        <v>2022</v>
      </c>
      <c r="J424" s="12">
        <v>67.8</v>
      </c>
      <c r="K424" s="13">
        <v>106</v>
      </c>
    </row>
    <row r="425" spans="1:11" x14ac:dyDescent="0.25">
      <c r="A425" s="6" t="s">
        <v>475</v>
      </c>
      <c r="B425" s="6" t="s">
        <v>100</v>
      </c>
      <c r="C425" s="6" t="s">
        <v>13</v>
      </c>
      <c r="D425" s="6" t="s">
        <v>14</v>
      </c>
      <c r="E425" s="14">
        <v>10</v>
      </c>
      <c r="F425" s="8">
        <v>44753</v>
      </c>
      <c r="G425" s="9">
        <v>2022</v>
      </c>
      <c r="H425" s="7" t="s">
        <v>55</v>
      </c>
      <c r="I425" s="9">
        <v>2012</v>
      </c>
      <c r="J425" s="14">
        <v>59</v>
      </c>
      <c r="K425" s="15">
        <v>148</v>
      </c>
    </row>
    <row r="426" spans="1:11" x14ac:dyDescent="0.25">
      <c r="A426" s="2" t="s">
        <v>476</v>
      </c>
      <c r="B426" s="2" t="s">
        <v>100</v>
      </c>
      <c r="C426" s="2" t="s">
        <v>34</v>
      </c>
      <c r="D426" s="2" t="s">
        <v>14</v>
      </c>
      <c r="E426" s="12">
        <v>8.5</v>
      </c>
      <c r="F426" s="4">
        <v>44755</v>
      </c>
      <c r="G426" s="5">
        <v>2022</v>
      </c>
      <c r="H426" s="3" t="s">
        <v>65</v>
      </c>
      <c r="I426" s="5">
        <v>2012</v>
      </c>
      <c r="J426" s="12">
        <v>35.6</v>
      </c>
      <c r="K426" s="13">
        <v>120</v>
      </c>
    </row>
    <row r="427" spans="1:11" x14ac:dyDescent="0.25">
      <c r="A427" s="6" t="s">
        <v>477</v>
      </c>
      <c r="B427" s="6" t="s">
        <v>47</v>
      </c>
      <c r="C427" s="6" t="s">
        <v>40</v>
      </c>
      <c r="D427" s="6" t="s">
        <v>14</v>
      </c>
      <c r="E427" s="14">
        <v>14.4</v>
      </c>
      <c r="F427" s="8">
        <v>44765</v>
      </c>
      <c r="G427" s="9">
        <v>2022</v>
      </c>
      <c r="H427" s="7" t="s">
        <v>45</v>
      </c>
      <c r="I427" s="9">
        <v>2012</v>
      </c>
      <c r="J427" s="14">
        <v>59.8</v>
      </c>
      <c r="K427" s="15">
        <v>203</v>
      </c>
    </row>
    <row r="428" spans="1:11" x14ac:dyDescent="0.25">
      <c r="A428" s="2" t="s">
        <v>478</v>
      </c>
      <c r="B428" s="2" t="s">
        <v>39</v>
      </c>
      <c r="C428" s="2" t="s">
        <v>34</v>
      </c>
      <c r="D428" s="2" t="s">
        <v>19</v>
      </c>
      <c r="E428" s="12">
        <v>85.8</v>
      </c>
      <c r="F428" s="4">
        <v>44770</v>
      </c>
      <c r="G428" s="5">
        <v>2022</v>
      </c>
      <c r="H428" s="3" t="s">
        <v>65</v>
      </c>
      <c r="I428" s="5">
        <v>2020</v>
      </c>
      <c r="J428" s="12">
        <v>726.7</v>
      </c>
      <c r="K428" s="13">
        <v>2192</v>
      </c>
    </row>
    <row r="429" spans="1:11" x14ac:dyDescent="0.25">
      <c r="A429" s="6" t="s">
        <v>479</v>
      </c>
      <c r="B429" s="6" t="s">
        <v>17</v>
      </c>
      <c r="C429" s="6" t="s">
        <v>18</v>
      </c>
      <c r="D429" s="6" t="s">
        <v>26</v>
      </c>
      <c r="E429" s="14">
        <v>37</v>
      </c>
      <c r="F429" s="8">
        <v>44779</v>
      </c>
      <c r="G429" s="9">
        <v>2022</v>
      </c>
      <c r="H429" s="7" t="s">
        <v>58</v>
      </c>
      <c r="I429" s="9">
        <v>2019</v>
      </c>
      <c r="J429" s="14">
        <v>245.4</v>
      </c>
      <c r="K429" s="15">
        <v>673</v>
      </c>
    </row>
    <row r="430" spans="1:11" x14ac:dyDescent="0.25">
      <c r="A430" s="2" t="s">
        <v>480</v>
      </c>
      <c r="B430" s="2" t="s">
        <v>47</v>
      </c>
      <c r="C430" s="2" t="s">
        <v>40</v>
      </c>
      <c r="D430" s="2" t="s">
        <v>19</v>
      </c>
      <c r="E430" s="12">
        <v>79.599999999999994</v>
      </c>
      <c r="F430" s="4">
        <v>44779</v>
      </c>
      <c r="G430" s="5">
        <v>2022</v>
      </c>
      <c r="H430" s="3" t="s">
        <v>15</v>
      </c>
      <c r="I430" s="5">
        <v>2013</v>
      </c>
      <c r="J430" s="12">
        <v>671.8</v>
      </c>
      <c r="K430" s="13">
        <v>2214</v>
      </c>
    </row>
    <row r="431" spans="1:11" x14ac:dyDescent="0.25">
      <c r="A431" s="6" t="s">
        <v>481</v>
      </c>
      <c r="B431" s="6" t="s">
        <v>76</v>
      </c>
      <c r="C431" s="6" t="s">
        <v>71</v>
      </c>
      <c r="D431" s="6" t="s">
        <v>26</v>
      </c>
      <c r="E431" s="14">
        <v>21.7</v>
      </c>
      <c r="F431" s="8">
        <v>44780</v>
      </c>
      <c r="G431" s="9">
        <v>2022</v>
      </c>
      <c r="H431" s="7" t="s">
        <v>15</v>
      </c>
      <c r="I431" s="9">
        <v>2015</v>
      </c>
      <c r="J431" s="14">
        <v>153.80000000000001</v>
      </c>
      <c r="K431" s="15">
        <v>331</v>
      </c>
    </row>
    <row r="432" spans="1:11" x14ac:dyDescent="0.25">
      <c r="A432" s="2" t="s">
        <v>482</v>
      </c>
      <c r="B432" s="2" t="s">
        <v>17</v>
      </c>
      <c r="C432" s="2" t="s">
        <v>13</v>
      </c>
      <c r="D432" s="2" t="s">
        <v>35</v>
      </c>
      <c r="E432" s="12">
        <v>218.1</v>
      </c>
      <c r="F432" s="4">
        <v>44783</v>
      </c>
      <c r="G432" s="5">
        <v>2022</v>
      </c>
      <c r="H432" s="3" t="s">
        <v>43</v>
      </c>
      <c r="I432" s="5">
        <v>2017</v>
      </c>
      <c r="J432" s="12">
        <v>2388.1999999999998</v>
      </c>
      <c r="K432" s="13">
        <v>4097</v>
      </c>
    </row>
    <row r="433" spans="1:11" x14ac:dyDescent="0.25">
      <c r="A433" s="6" t="s">
        <v>483</v>
      </c>
      <c r="B433" s="6" t="s">
        <v>47</v>
      </c>
      <c r="C433" s="6" t="s">
        <v>25</v>
      </c>
      <c r="D433" s="6" t="s">
        <v>14</v>
      </c>
      <c r="E433" s="14">
        <v>9.4</v>
      </c>
      <c r="F433" s="8">
        <v>44784</v>
      </c>
      <c r="G433" s="9">
        <v>2022</v>
      </c>
      <c r="H433" s="7" t="s">
        <v>58</v>
      </c>
      <c r="I433" s="9">
        <v>2018</v>
      </c>
      <c r="J433" s="14">
        <v>48.2</v>
      </c>
      <c r="K433" s="15">
        <v>176</v>
      </c>
    </row>
    <row r="434" spans="1:11" x14ac:dyDescent="0.25">
      <c r="A434" s="2" t="s">
        <v>484</v>
      </c>
      <c r="B434" s="2" t="s">
        <v>47</v>
      </c>
      <c r="C434" s="2" t="s">
        <v>18</v>
      </c>
      <c r="D434" s="2" t="s">
        <v>31</v>
      </c>
      <c r="E434" s="12">
        <v>1.8</v>
      </c>
      <c r="F434" s="4">
        <v>44791</v>
      </c>
      <c r="G434" s="5">
        <v>2022</v>
      </c>
      <c r="H434" s="3" t="s">
        <v>23</v>
      </c>
      <c r="I434" s="5">
        <v>2015</v>
      </c>
      <c r="J434" s="12">
        <v>7.9</v>
      </c>
      <c r="K434" s="13">
        <v>29</v>
      </c>
    </row>
    <row r="435" spans="1:11" x14ac:dyDescent="0.25">
      <c r="A435" s="6" t="s">
        <v>485</v>
      </c>
      <c r="B435" s="6" t="s">
        <v>29</v>
      </c>
      <c r="C435" s="6" t="s">
        <v>63</v>
      </c>
      <c r="D435" s="6" t="s">
        <v>26</v>
      </c>
      <c r="E435" s="14">
        <v>56.6</v>
      </c>
      <c r="F435" s="8">
        <v>44792</v>
      </c>
      <c r="G435" s="9">
        <v>2022</v>
      </c>
      <c r="H435" s="7" t="s">
        <v>37</v>
      </c>
      <c r="I435" s="9">
        <v>2016</v>
      </c>
      <c r="J435" s="14">
        <v>267.89999999999998</v>
      </c>
      <c r="K435" s="15">
        <v>810</v>
      </c>
    </row>
    <row r="436" spans="1:11" x14ac:dyDescent="0.25">
      <c r="A436" s="2" t="s">
        <v>486</v>
      </c>
      <c r="B436" s="2" t="s">
        <v>33</v>
      </c>
      <c r="C436" s="2" t="s">
        <v>34</v>
      </c>
      <c r="D436" s="2" t="s">
        <v>31</v>
      </c>
      <c r="E436" s="12">
        <v>3.5</v>
      </c>
      <c r="F436" s="4">
        <v>44794</v>
      </c>
      <c r="G436" s="5">
        <v>2022</v>
      </c>
      <c r="H436" s="3" t="s">
        <v>37</v>
      </c>
      <c r="I436" s="5">
        <v>2022</v>
      </c>
      <c r="J436" s="12">
        <v>26.9</v>
      </c>
      <c r="K436" s="13">
        <v>77</v>
      </c>
    </row>
    <row r="437" spans="1:11" x14ac:dyDescent="0.25">
      <c r="A437" s="6" t="s">
        <v>487</v>
      </c>
      <c r="B437" s="6" t="s">
        <v>17</v>
      </c>
      <c r="C437" s="6" t="s">
        <v>18</v>
      </c>
      <c r="D437" s="6" t="s">
        <v>31</v>
      </c>
      <c r="E437" s="14">
        <v>2.2000000000000002</v>
      </c>
      <c r="F437" s="8">
        <v>44794</v>
      </c>
      <c r="G437" s="9">
        <v>2022</v>
      </c>
      <c r="H437" s="7" t="s">
        <v>15</v>
      </c>
      <c r="I437" s="9">
        <v>2018</v>
      </c>
      <c r="J437" s="14">
        <v>13</v>
      </c>
      <c r="K437" s="15">
        <v>34</v>
      </c>
    </row>
    <row r="438" spans="1:11" x14ac:dyDescent="0.25">
      <c r="A438" s="2" t="s">
        <v>488</v>
      </c>
      <c r="B438" s="2" t="s">
        <v>22</v>
      </c>
      <c r="C438" s="2" t="s">
        <v>34</v>
      </c>
      <c r="D438" s="2" t="s">
        <v>35</v>
      </c>
      <c r="E438" s="12">
        <v>254.1</v>
      </c>
      <c r="F438" s="4">
        <v>44798</v>
      </c>
      <c r="G438" s="5">
        <v>2022</v>
      </c>
      <c r="H438" s="3" t="s">
        <v>123</v>
      </c>
      <c r="I438" s="5">
        <v>2018</v>
      </c>
      <c r="J438" s="12">
        <v>1899.9</v>
      </c>
      <c r="K438" s="13">
        <v>4968</v>
      </c>
    </row>
    <row r="439" spans="1:11" x14ac:dyDescent="0.25">
      <c r="A439" s="6" t="s">
        <v>489</v>
      </c>
      <c r="B439" s="6" t="s">
        <v>33</v>
      </c>
      <c r="C439" s="6" t="s">
        <v>13</v>
      </c>
      <c r="D439" s="6" t="s">
        <v>19</v>
      </c>
      <c r="E439" s="14">
        <v>81.8</v>
      </c>
      <c r="F439" s="8">
        <v>44799</v>
      </c>
      <c r="G439" s="9">
        <v>2022</v>
      </c>
      <c r="H439" s="7" t="s">
        <v>27</v>
      </c>
      <c r="I439" s="9">
        <v>2019</v>
      </c>
      <c r="J439" s="14">
        <v>462.8</v>
      </c>
      <c r="K439" s="15">
        <v>1710</v>
      </c>
    </row>
    <row r="440" spans="1:11" x14ac:dyDescent="0.25">
      <c r="A440" s="2" t="s">
        <v>490</v>
      </c>
      <c r="B440" s="2" t="s">
        <v>33</v>
      </c>
      <c r="C440" s="2" t="s">
        <v>25</v>
      </c>
      <c r="D440" s="2" t="s">
        <v>31</v>
      </c>
      <c r="E440" s="12">
        <v>2.9</v>
      </c>
      <c r="F440" s="4">
        <v>44802</v>
      </c>
      <c r="G440" s="5">
        <v>2022</v>
      </c>
      <c r="H440" s="3" t="s">
        <v>45</v>
      </c>
      <c r="I440" s="5">
        <v>2017</v>
      </c>
      <c r="J440" s="12">
        <v>13.3</v>
      </c>
      <c r="K440" s="13">
        <v>32</v>
      </c>
    </row>
    <row r="441" spans="1:11" x14ac:dyDescent="0.25">
      <c r="A441" s="6" t="s">
        <v>491</v>
      </c>
      <c r="B441" s="6" t="s">
        <v>17</v>
      </c>
      <c r="C441" s="6" t="s">
        <v>13</v>
      </c>
      <c r="D441" s="6" t="s">
        <v>19</v>
      </c>
      <c r="E441" s="14">
        <v>94.1</v>
      </c>
      <c r="F441" s="8">
        <v>44803</v>
      </c>
      <c r="G441" s="9">
        <v>2022</v>
      </c>
      <c r="H441" s="7" t="s">
        <v>55</v>
      </c>
      <c r="I441" s="9">
        <v>2015</v>
      </c>
      <c r="J441" s="14">
        <v>399.6</v>
      </c>
      <c r="K441" s="15">
        <v>1377</v>
      </c>
    </row>
    <row r="442" spans="1:11" x14ac:dyDescent="0.25">
      <c r="A442" s="2" t="s">
        <v>492</v>
      </c>
      <c r="B442" s="2" t="s">
        <v>67</v>
      </c>
      <c r="C442" s="2" t="s">
        <v>18</v>
      </c>
      <c r="D442" s="2" t="s">
        <v>31</v>
      </c>
      <c r="E442" s="12">
        <v>0.8</v>
      </c>
      <c r="F442" s="4">
        <v>44808</v>
      </c>
      <c r="G442" s="5">
        <v>2022</v>
      </c>
      <c r="H442" s="3" t="s">
        <v>53</v>
      </c>
      <c r="I442" s="5">
        <v>2022</v>
      </c>
      <c r="J442" s="12">
        <v>4.0999999999999996</v>
      </c>
      <c r="K442" s="13">
        <v>10</v>
      </c>
    </row>
    <row r="443" spans="1:11" x14ac:dyDescent="0.25">
      <c r="A443" s="6" t="s">
        <v>493</v>
      </c>
      <c r="B443" s="6" t="s">
        <v>17</v>
      </c>
      <c r="C443" s="6" t="s">
        <v>13</v>
      </c>
      <c r="D443" s="6" t="s">
        <v>31</v>
      </c>
      <c r="E443" s="14">
        <v>1.3</v>
      </c>
      <c r="F443" s="8">
        <v>44812</v>
      </c>
      <c r="G443" s="9">
        <v>2022</v>
      </c>
      <c r="H443" s="7" t="s">
        <v>27</v>
      </c>
      <c r="I443" s="9">
        <v>2012</v>
      </c>
      <c r="J443" s="14">
        <v>10.9</v>
      </c>
      <c r="K443" s="15">
        <v>37</v>
      </c>
    </row>
    <row r="444" spans="1:11" x14ac:dyDescent="0.25">
      <c r="A444" s="2" t="s">
        <v>494</v>
      </c>
      <c r="B444" s="2" t="s">
        <v>22</v>
      </c>
      <c r="C444" s="2" t="s">
        <v>40</v>
      </c>
      <c r="D444" s="2" t="s">
        <v>14</v>
      </c>
      <c r="E444" s="12">
        <v>12.3</v>
      </c>
      <c r="F444" s="4">
        <v>44818</v>
      </c>
      <c r="G444" s="5">
        <v>2022</v>
      </c>
      <c r="H444" s="3" t="s">
        <v>65</v>
      </c>
      <c r="I444" s="5">
        <v>2017</v>
      </c>
      <c r="J444" s="12">
        <v>88.2</v>
      </c>
      <c r="K444" s="13">
        <v>163</v>
      </c>
    </row>
    <row r="445" spans="1:11" x14ac:dyDescent="0.25">
      <c r="A445" s="6" t="s">
        <v>495</v>
      </c>
      <c r="B445" s="6" t="s">
        <v>39</v>
      </c>
      <c r="C445" s="6" t="s">
        <v>18</v>
      </c>
      <c r="D445" s="6" t="s">
        <v>26</v>
      </c>
      <c r="E445" s="14">
        <v>52.5</v>
      </c>
      <c r="F445" s="8">
        <v>44820</v>
      </c>
      <c r="G445" s="9">
        <v>2022</v>
      </c>
      <c r="H445" s="7" t="s">
        <v>58</v>
      </c>
      <c r="I445" s="9">
        <v>2013</v>
      </c>
      <c r="J445" s="14">
        <v>261.10000000000002</v>
      </c>
      <c r="K445" s="15">
        <v>787</v>
      </c>
    </row>
    <row r="446" spans="1:11" x14ac:dyDescent="0.25">
      <c r="A446" s="2" t="s">
        <v>496</v>
      </c>
      <c r="B446" s="2" t="s">
        <v>47</v>
      </c>
      <c r="C446" s="2" t="s">
        <v>13</v>
      </c>
      <c r="D446" s="2" t="s">
        <v>31</v>
      </c>
      <c r="E446" s="12">
        <v>1.2</v>
      </c>
      <c r="F446" s="4">
        <v>44822</v>
      </c>
      <c r="G446" s="5">
        <v>2022</v>
      </c>
      <c r="H446" s="3" t="s">
        <v>43</v>
      </c>
      <c r="I446" s="5">
        <v>2013</v>
      </c>
      <c r="J446" s="12">
        <v>11.5</v>
      </c>
      <c r="K446" s="13">
        <v>40</v>
      </c>
    </row>
    <row r="447" spans="1:11" x14ac:dyDescent="0.25">
      <c r="A447" s="6" t="s">
        <v>497</v>
      </c>
      <c r="B447" s="6" t="s">
        <v>29</v>
      </c>
      <c r="C447" s="6" t="s">
        <v>13</v>
      </c>
      <c r="D447" s="6" t="s">
        <v>14</v>
      </c>
      <c r="E447" s="14">
        <v>12</v>
      </c>
      <c r="F447" s="8">
        <v>44824</v>
      </c>
      <c r="G447" s="9">
        <v>2022</v>
      </c>
      <c r="H447" s="7" t="s">
        <v>55</v>
      </c>
      <c r="I447" s="9">
        <v>2019</v>
      </c>
      <c r="J447" s="14">
        <v>51.1</v>
      </c>
      <c r="K447" s="15">
        <v>77</v>
      </c>
    </row>
    <row r="448" spans="1:11" x14ac:dyDescent="0.25">
      <c r="A448" s="2" t="s">
        <v>498</v>
      </c>
      <c r="B448" s="2" t="s">
        <v>12</v>
      </c>
      <c r="C448" s="2" t="s">
        <v>63</v>
      </c>
      <c r="D448" s="2" t="s">
        <v>14</v>
      </c>
      <c r="E448" s="12">
        <v>9.6</v>
      </c>
      <c r="F448" s="4">
        <v>44824</v>
      </c>
      <c r="G448" s="5">
        <v>2022</v>
      </c>
      <c r="H448" s="3" t="s">
        <v>20</v>
      </c>
      <c r="I448" s="5">
        <v>2012</v>
      </c>
      <c r="J448" s="12">
        <v>70</v>
      </c>
      <c r="K448" s="13">
        <v>257</v>
      </c>
    </row>
    <row r="449" spans="1:11" x14ac:dyDescent="0.25">
      <c r="A449" s="6" t="s">
        <v>499</v>
      </c>
      <c r="B449" s="6" t="s">
        <v>29</v>
      </c>
      <c r="C449" s="6" t="s">
        <v>18</v>
      </c>
      <c r="D449" s="6" t="s">
        <v>31</v>
      </c>
      <c r="E449" s="14">
        <v>5.0999999999999996</v>
      </c>
      <c r="F449" s="8">
        <v>44826</v>
      </c>
      <c r="G449" s="9">
        <v>2022</v>
      </c>
      <c r="H449" s="7" t="s">
        <v>58</v>
      </c>
      <c r="I449" s="9">
        <v>2021</v>
      </c>
      <c r="J449" s="14">
        <v>41.4</v>
      </c>
      <c r="K449" s="15">
        <v>63</v>
      </c>
    </row>
    <row r="450" spans="1:11" x14ac:dyDescent="0.25">
      <c r="A450" s="2" t="s">
        <v>500</v>
      </c>
      <c r="B450" s="2" t="s">
        <v>29</v>
      </c>
      <c r="C450" s="2" t="s">
        <v>48</v>
      </c>
      <c r="D450" s="2" t="s">
        <v>31</v>
      </c>
      <c r="E450" s="12">
        <v>1.7</v>
      </c>
      <c r="F450" s="4">
        <v>44846</v>
      </c>
      <c r="G450" s="5">
        <v>2022</v>
      </c>
      <c r="H450" s="3" t="s">
        <v>23</v>
      </c>
      <c r="I450" s="5">
        <v>2022</v>
      </c>
      <c r="J450" s="12">
        <v>10.8</v>
      </c>
      <c r="K450" s="13">
        <v>41</v>
      </c>
    </row>
    <row r="451" spans="1:11" x14ac:dyDescent="0.25">
      <c r="A451" s="6" t="s">
        <v>501</v>
      </c>
      <c r="B451" s="6" t="s">
        <v>22</v>
      </c>
      <c r="C451" s="6" t="s">
        <v>34</v>
      </c>
      <c r="D451" s="6" t="s">
        <v>31</v>
      </c>
      <c r="E451" s="14">
        <v>3.6</v>
      </c>
      <c r="F451" s="8">
        <v>44846</v>
      </c>
      <c r="G451" s="9">
        <v>2022</v>
      </c>
      <c r="H451" s="7" t="s">
        <v>45</v>
      </c>
      <c r="I451" s="9">
        <v>2021</v>
      </c>
      <c r="J451" s="14">
        <v>23.7</v>
      </c>
      <c r="K451" s="15">
        <v>76</v>
      </c>
    </row>
    <row r="452" spans="1:11" x14ac:dyDescent="0.25">
      <c r="A452" s="2" t="s">
        <v>502</v>
      </c>
      <c r="B452" s="2" t="s">
        <v>42</v>
      </c>
      <c r="C452" s="2" t="s">
        <v>30</v>
      </c>
      <c r="D452" s="2" t="s">
        <v>26</v>
      </c>
      <c r="E452" s="12">
        <v>16.3</v>
      </c>
      <c r="F452" s="4">
        <v>44852</v>
      </c>
      <c r="G452" s="5">
        <v>2022</v>
      </c>
      <c r="H452" s="3" t="s">
        <v>55</v>
      </c>
      <c r="I452" s="5">
        <v>2014</v>
      </c>
      <c r="J452" s="12">
        <v>87.7</v>
      </c>
      <c r="K452" s="13">
        <v>341</v>
      </c>
    </row>
    <row r="453" spans="1:11" x14ac:dyDescent="0.25">
      <c r="A453" s="6" t="s">
        <v>503</v>
      </c>
      <c r="B453" s="6" t="s">
        <v>33</v>
      </c>
      <c r="C453" s="6" t="s">
        <v>18</v>
      </c>
      <c r="D453" s="6" t="s">
        <v>35</v>
      </c>
      <c r="E453" s="14">
        <v>163.19999999999999</v>
      </c>
      <c r="F453" s="8">
        <v>44854</v>
      </c>
      <c r="G453" s="9">
        <v>2022</v>
      </c>
      <c r="H453" s="7" t="s">
        <v>15</v>
      </c>
      <c r="I453" s="9">
        <v>2017</v>
      </c>
      <c r="J453" s="14">
        <v>1079.7</v>
      </c>
      <c r="K453" s="15">
        <v>4204</v>
      </c>
    </row>
    <row r="454" spans="1:11" x14ac:dyDescent="0.25">
      <c r="A454" s="2" t="s">
        <v>504</v>
      </c>
      <c r="B454" s="2" t="s">
        <v>104</v>
      </c>
      <c r="C454" s="2" t="s">
        <v>25</v>
      </c>
      <c r="D454" s="2" t="s">
        <v>31</v>
      </c>
      <c r="E454" s="12">
        <v>0.8</v>
      </c>
      <c r="F454" s="4">
        <v>44857</v>
      </c>
      <c r="G454" s="5">
        <v>2022</v>
      </c>
      <c r="H454" s="3" t="s">
        <v>65</v>
      </c>
      <c r="I454" s="5">
        <v>2016</v>
      </c>
      <c r="J454" s="12">
        <v>6</v>
      </c>
      <c r="K454" s="13">
        <v>12</v>
      </c>
    </row>
    <row r="455" spans="1:11" x14ac:dyDescent="0.25">
      <c r="A455" s="6" t="s">
        <v>505</v>
      </c>
      <c r="B455" s="6" t="s">
        <v>76</v>
      </c>
      <c r="C455" s="6" t="s">
        <v>13</v>
      </c>
      <c r="D455" s="6" t="s">
        <v>14</v>
      </c>
      <c r="E455" s="14">
        <v>10.3</v>
      </c>
      <c r="F455" s="8">
        <v>44858</v>
      </c>
      <c r="G455" s="9">
        <v>2022</v>
      </c>
      <c r="H455" s="7" t="s">
        <v>45</v>
      </c>
      <c r="I455" s="9">
        <v>2014</v>
      </c>
      <c r="J455" s="14">
        <v>61.5</v>
      </c>
      <c r="K455" s="15">
        <v>154</v>
      </c>
    </row>
    <row r="456" spans="1:11" x14ac:dyDescent="0.25">
      <c r="A456" s="2" t="s">
        <v>506</v>
      </c>
      <c r="B456" s="2" t="s">
        <v>33</v>
      </c>
      <c r="C456" s="2" t="s">
        <v>63</v>
      </c>
      <c r="D456" s="2" t="s">
        <v>31</v>
      </c>
      <c r="E456" s="12">
        <v>3.3</v>
      </c>
      <c r="F456" s="4">
        <v>44858</v>
      </c>
      <c r="G456" s="5">
        <v>2022</v>
      </c>
      <c r="H456" s="3" t="s">
        <v>65</v>
      </c>
      <c r="I456" s="5">
        <v>2017</v>
      </c>
      <c r="J456" s="12">
        <v>30.7</v>
      </c>
      <c r="K456" s="13">
        <v>76</v>
      </c>
    </row>
    <row r="457" spans="1:11" x14ac:dyDescent="0.25">
      <c r="A457" s="6" t="s">
        <v>507</v>
      </c>
      <c r="B457" s="6" t="s">
        <v>100</v>
      </c>
      <c r="C457" s="6" t="s">
        <v>34</v>
      </c>
      <c r="D457" s="6" t="s">
        <v>26</v>
      </c>
      <c r="E457" s="14">
        <v>44</v>
      </c>
      <c r="F457" s="8">
        <v>44860</v>
      </c>
      <c r="G457" s="9">
        <v>2022</v>
      </c>
      <c r="H457" s="7" t="s">
        <v>53</v>
      </c>
      <c r="I457" s="9">
        <v>2017</v>
      </c>
      <c r="J457" s="14">
        <v>247.5</v>
      </c>
      <c r="K457" s="15">
        <v>816</v>
      </c>
    </row>
    <row r="458" spans="1:11" x14ac:dyDescent="0.25">
      <c r="A458" s="2" t="s">
        <v>508</v>
      </c>
      <c r="B458" s="2" t="s">
        <v>67</v>
      </c>
      <c r="C458" s="2" t="s">
        <v>34</v>
      </c>
      <c r="D458" s="2" t="s">
        <v>19</v>
      </c>
      <c r="E458" s="12">
        <v>56.7</v>
      </c>
      <c r="F458" s="4">
        <v>44873</v>
      </c>
      <c r="G458" s="5">
        <v>2022</v>
      </c>
      <c r="H458" s="3" t="s">
        <v>53</v>
      </c>
      <c r="I458" s="5">
        <v>2014</v>
      </c>
      <c r="J458" s="12">
        <v>363.1</v>
      </c>
      <c r="K458" s="13">
        <v>1313</v>
      </c>
    </row>
    <row r="459" spans="1:11" x14ac:dyDescent="0.25">
      <c r="A459" s="6" t="s">
        <v>509</v>
      </c>
      <c r="B459" s="6" t="s">
        <v>47</v>
      </c>
      <c r="C459" s="6" t="s">
        <v>34</v>
      </c>
      <c r="D459" s="6" t="s">
        <v>19</v>
      </c>
      <c r="E459" s="14">
        <v>124.2</v>
      </c>
      <c r="F459" s="8">
        <v>44875</v>
      </c>
      <c r="G459" s="9">
        <v>2022</v>
      </c>
      <c r="H459" s="7" t="s">
        <v>15</v>
      </c>
      <c r="I459" s="9">
        <v>2022</v>
      </c>
      <c r="J459" s="14">
        <v>578.5</v>
      </c>
      <c r="K459" s="15">
        <v>1823</v>
      </c>
    </row>
    <row r="460" spans="1:11" x14ac:dyDescent="0.25">
      <c r="A460" s="2" t="s">
        <v>510</v>
      </c>
      <c r="B460" s="2" t="s">
        <v>42</v>
      </c>
      <c r="C460" s="2" t="s">
        <v>63</v>
      </c>
      <c r="D460" s="2" t="s">
        <v>14</v>
      </c>
      <c r="E460" s="12">
        <v>13.5</v>
      </c>
      <c r="F460" s="4">
        <v>44875</v>
      </c>
      <c r="G460" s="5">
        <v>2022</v>
      </c>
      <c r="H460" s="3" t="s">
        <v>123</v>
      </c>
      <c r="I460" s="5">
        <v>2018</v>
      </c>
      <c r="J460" s="12">
        <v>75.2</v>
      </c>
      <c r="K460" s="13">
        <v>173</v>
      </c>
    </row>
    <row r="461" spans="1:11" x14ac:dyDescent="0.25">
      <c r="A461" s="6" t="s">
        <v>511</v>
      </c>
      <c r="B461" s="6" t="s">
        <v>39</v>
      </c>
      <c r="C461" s="6" t="s">
        <v>71</v>
      </c>
      <c r="D461" s="6" t="s">
        <v>31</v>
      </c>
      <c r="E461" s="14">
        <v>0.5</v>
      </c>
      <c r="F461" s="8">
        <v>44877</v>
      </c>
      <c r="G461" s="9">
        <v>2022</v>
      </c>
      <c r="H461" s="7" t="s">
        <v>45</v>
      </c>
      <c r="I461" s="9">
        <v>2016</v>
      </c>
      <c r="J461" s="14">
        <v>2.9</v>
      </c>
      <c r="K461" s="15">
        <v>11</v>
      </c>
    </row>
    <row r="462" spans="1:11" x14ac:dyDescent="0.25">
      <c r="A462" s="2" t="s">
        <v>512</v>
      </c>
      <c r="B462" s="2" t="s">
        <v>104</v>
      </c>
      <c r="C462" s="2" t="s">
        <v>18</v>
      </c>
      <c r="D462" s="2" t="s">
        <v>14</v>
      </c>
      <c r="E462" s="12">
        <v>6.5</v>
      </c>
      <c r="F462" s="4">
        <v>44880</v>
      </c>
      <c r="G462" s="5">
        <v>2022</v>
      </c>
      <c r="H462" s="3" t="s">
        <v>107</v>
      </c>
      <c r="I462" s="5">
        <v>2014</v>
      </c>
      <c r="J462" s="12">
        <v>47.6</v>
      </c>
      <c r="K462" s="13">
        <v>175</v>
      </c>
    </row>
    <row r="463" spans="1:11" x14ac:dyDescent="0.25">
      <c r="A463" s="6" t="s">
        <v>513</v>
      </c>
      <c r="B463" s="6" t="s">
        <v>33</v>
      </c>
      <c r="C463" s="6" t="s">
        <v>18</v>
      </c>
      <c r="D463" s="6" t="s">
        <v>31</v>
      </c>
      <c r="E463" s="14">
        <v>3.3</v>
      </c>
      <c r="F463" s="8">
        <v>44881</v>
      </c>
      <c r="G463" s="9">
        <v>2022</v>
      </c>
      <c r="H463" s="7" t="s">
        <v>65</v>
      </c>
      <c r="I463" s="9">
        <v>2013</v>
      </c>
      <c r="J463" s="14">
        <v>21.3</v>
      </c>
      <c r="K463" s="15">
        <v>71</v>
      </c>
    </row>
    <row r="464" spans="1:11" x14ac:dyDescent="0.25">
      <c r="A464" s="2" t="s">
        <v>514</v>
      </c>
      <c r="B464" s="2" t="s">
        <v>12</v>
      </c>
      <c r="C464" s="2" t="s">
        <v>25</v>
      </c>
      <c r="D464" s="2" t="s">
        <v>31</v>
      </c>
      <c r="E464" s="12">
        <v>2</v>
      </c>
      <c r="F464" s="4">
        <v>44886</v>
      </c>
      <c r="G464" s="5">
        <v>2022</v>
      </c>
      <c r="H464" s="3" t="s">
        <v>107</v>
      </c>
      <c r="I464" s="5">
        <v>2019</v>
      </c>
      <c r="J464" s="12">
        <v>16</v>
      </c>
      <c r="K464" s="13">
        <v>45</v>
      </c>
    </row>
    <row r="465" spans="1:11" x14ac:dyDescent="0.25">
      <c r="A465" s="6" t="s">
        <v>515</v>
      </c>
      <c r="B465" s="6" t="s">
        <v>33</v>
      </c>
      <c r="C465" s="6" t="s">
        <v>63</v>
      </c>
      <c r="D465" s="6" t="s">
        <v>19</v>
      </c>
      <c r="E465" s="14">
        <v>152.80000000000001</v>
      </c>
      <c r="F465" s="8">
        <v>44888</v>
      </c>
      <c r="G465" s="9">
        <v>2022</v>
      </c>
      <c r="H465" s="7" t="s">
        <v>53</v>
      </c>
      <c r="I465" s="9">
        <v>2020</v>
      </c>
      <c r="J465" s="14">
        <v>856.8</v>
      </c>
      <c r="K465" s="15">
        <v>3306</v>
      </c>
    </row>
    <row r="466" spans="1:11" x14ac:dyDescent="0.25">
      <c r="A466" s="2" t="s">
        <v>516</v>
      </c>
      <c r="B466" s="2" t="s">
        <v>29</v>
      </c>
      <c r="C466" s="2" t="s">
        <v>18</v>
      </c>
      <c r="D466" s="2" t="s">
        <v>19</v>
      </c>
      <c r="E466" s="12">
        <v>150.19999999999999</v>
      </c>
      <c r="F466" s="4">
        <v>44892</v>
      </c>
      <c r="G466" s="5">
        <v>2022</v>
      </c>
      <c r="H466" s="3" t="s">
        <v>43</v>
      </c>
      <c r="I466" s="5">
        <v>2013</v>
      </c>
      <c r="J466" s="12">
        <v>1318</v>
      </c>
      <c r="K466" s="13">
        <v>3482</v>
      </c>
    </row>
    <row r="467" spans="1:11" x14ac:dyDescent="0.25">
      <c r="A467" s="6" t="s">
        <v>517</v>
      </c>
      <c r="B467" s="6" t="s">
        <v>47</v>
      </c>
      <c r="C467" s="6" t="s">
        <v>13</v>
      </c>
      <c r="D467" s="6" t="s">
        <v>14</v>
      </c>
      <c r="E467" s="14">
        <v>18.399999999999999</v>
      </c>
      <c r="F467" s="8">
        <v>44895</v>
      </c>
      <c r="G467" s="9">
        <v>2022</v>
      </c>
      <c r="H467" s="7" t="s">
        <v>15</v>
      </c>
      <c r="I467" s="9">
        <v>2012</v>
      </c>
      <c r="J467" s="14">
        <v>73.7</v>
      </c>
      <c r="K467" s="15">
        <v>251</v>
      </c>
    </row>
    <row r="468" spans="1:11" x14ac:dyDescent="0.25">
      <c r="A468" s="2" t="s">
        <v>518</v>
      </c>
      <c r="B468" s="2" t="s">
        <v>76</v>
      </c>
      <c r="C468" s="2" t="s">
        <v>13</v>
      </c>
      <c r="D468" s="2" t="s">
        <v>31</v>
      </c>
      <c r="E468" s="12">
        <v>0.9</v>
      </c>
      <c r="F468" s="4">
        <v>44896</v>
      </c>
      <c r="G468" s="5">
        <v>2022</v>
      </c>
      <c r="H468" s="3" t="s">
        <v>53</v>
      </c>
      <c r="I468" s="5">
        <v>2014</v>
      </c>
      <c r="J468" s="12">
        <v>6.8</v>
      </c>
      <c r="K468" s="13">
        <v>25</v>
      </c>
    </row>
    <row r="469" spans="1:11" x14ac:dyDescent="0.25">
      <c r="A469" s="6" t="s">
        <v>519</v>
      </c>
      <c r="B469" s="6" t="s">
        <v>17</v>
      </c>
      <c r="C469" s="6" t="s">
        <v>18</v>
      </c>
      <c r="D469" s="6" t="s">
        <v>26</v>
      </c>
      <c r="E469" s="14">
        <v>50.2</v>
      </c>
      <c r="F469" s="8">
        <v>44897</v>
      </c>
      <c r="G469" s="9">
        <v>2022</v>
      </c>
      <c r="H469" s="7" t="s">
        <v>55</v>
      </c>
      <c r="I469" s="9">
        <v>2017</v>
      </c>
      <c r="J469" s="14">
        <v>193.9</v>
      </c>
      <c r="K469" s="15">
        <v>340</v>
      </c>
    </row>
    <row r="470" spans="1:11" x14ac:dyDescent="0.25">
      <c r="A470" s="2" t="s">
        <v>520</v>
      </c>
      <c r="B470" s="2" t="s">
        <v>12</v>
      </c>
      <c r="C470" s="2" t="s">
        <v>34</v>
      </c>
      <c r="D470" s="2" t="s">
        <v>31</v>
      </c>
      <c r="E470" s="12">
        <v>3.6</v>
      </c>
      <c r="F470" s="4">
        <v>44898</v>
      </c>
      <c r="G470" s="5">
        <v>2022</v>
      </c>
      <c r="H470" s="3" t="s">
        <v>50</v>
      </c>
      <c r="I470" s="5">
        <v>2015</v>
      </c>
      <c r="J470" s="12">
        <v>15.8</v>
      </c>
      <c r="K470" s="13">
        <v>37</v>
      </c>
    </row>
    <row r="471" spans="1:11" x14ac:dyDescent="0.25">
      <c r="A471" s="6" t="s">
        <v>521</v>
      </c>
      <c r="B471" s="6" t="s">
        <v>100</v>
      </c>
      <c r="C471" s="6" t="s">
        <v>63</v>
      </c>
      <c r="D471" s="6" t="s">
        <v>14</v>
      </c>
      <c r="E471" s="14">
        <v>8.3000000000000007</v>
      </c>
      <c r="F471" s="8">
        <v>44898</v>
      </c>
      <c r="G471" s="9">
        <v>2022</v>
      </c>
      <c r="H471" s="7" t="s">
        <v>53</v>
      </c>
      <c r="I471" s="9">
        <v>2014</v>
      </c>
      <c r="J471" s="14">
        <v>55.6</v>
      </c>
      <c r="K471" s="15">
        <v>103</v>
      </c>
    </row>
    <row r="472" spans="1:11" x14ac:dyDescent="0.25">
      <c r="A472" s="2" t="s">
        <v>522</v>
      </c>
      <c r="B472" s="2" t="s">
        <v>67</v>
      </c>
      <c r="C472" s="2" t="s">
        <v>13</v>
      </c>
      <c r="D472" s="2" t="s">
        <v>14</v>
      </c>
      <c r="E472" s="12">
        <v>4.7</v>
      </c>
      <c r="F472" s="4">
        <v>44899</v>
      </c>
      <c r="G472" s="5">
        <v>2022</v>
      </c>
      <c r="H472" s="3" t="s">
        <v>23</v>
      </c>
      <c r="I472" s="5">
        <v>2021</v>
      </c>
      <c r="J472" s="12">
        <v>27.7</v>
      </c>
      <c r="K472" s="13">
        <v>54</v>
      </c>
    </row>
    <row r="473" spans="1:11" x14ac:dyDescent="0.25">
      <c r="A473" s="6" t="s">
        <v>523</v>
      </c>
      <c r="B473" s="6" t="s">
        <v>17</v>
      </c>
      <c r="C473" s="6" t="s">
        <v>25</v>
      </c>
      <c r="D473" s="6" t="s">
        <v>35</v>
      </c>
      <c r="E473" s="14">
        <v>176.4</v>
      </c>
      <c r="F473" s="8">
        <v>44900</v>
      </c>
      <c r="G473" s="9">
        <v>2022</v>
      </c>
      <c r="H473" s="7" t="s">
        <v>45</v>
      </c>
      <c r="I473" s="9">
        <v>2021</v>
      </c>
      <c r="J473" s="14">
        <v>1581.8</v>
      </c>
      <c r="K473" s="15">
        <v>4127</v>
      </c>
    </row>
    <row r="474" spans="1:11" x14ac:dyDescent="0.25">
      <c r="A474" s="2" t="s">
        <v>524</v>
      </c>
      <c r="B474" s="2" t="s">
        <v>42</v>
      </c>
      <c r="C474" s="2" t="s">
        <v>18</v>
      </c>
      <c r="D474" s="2" t="s">
        <v>31</v>
      </c>
      <c r="E474" s="12">
        <v>3.1</v>
      </c>
      <c r="F474" s="4">
        <v>44907</v>
      </c>
      <c r="G474" s="5">
        <v>2022</v>
      </c>
      <c r="H474" s="3" t="s">
        <v>27</v>
      </c>
      <c r="I474" s="5">
        <v>2018</v>
      </c>
      <c r="J474" s="12">
        <v>23.8</v>
      </c>
      <c r="K474" s="13">
        <v>63</v>
      </c>
    </row>
    <row r="475" spans="1:11" x14ac:dyDescent="0.25">
      <c r="A475" s="6" t="s">
        <v>525</v>
      </c>
      <c r="B475" s="6" t="s">
        <v>17</v>
      </c>
      <c r="C475" s="6" t="s">
        <v>13</v>
      </c>
      <c r="D475" s="6" t="s">
        <v>31</v>
      </c>
      <c r="E475" s="14">
        <v>0.9</v>
      </c>
      <c r="F475" s="8">
        <v>44908</v>
      </c>
      <c r="G475" s="9">
        <v>2022</v>
      </c>
      <c r="H475" s="7" t="s">
        <v>53</v>
      </c>
      <c r="I475" s="9">
        <v>2021</v>
      </c>
      <c r="J475" s="14">
        <v>5.0999999999999996</v>
      </c>
      <c r="K475" s="15">
        <v>10</v>
      </c>
    </row>
    <row r="476" spans="1:11" x14ac:dyDescent="0.25">
      <c r="A476" s="2" t="s">
        <v>526</v>
      </c>
      <c r="B476" s="2" t="s">
        <v>22</v>
      </c>
      <c r="C476" s="2" t="s">
        <v>13</v>
      </c>
      <c r="D476" s="2" t="s">
        <v>14</v>
      </c>
      <c r="E476" s="12">
        <v>9.9</v>
      </c>
      <c r="F476" s="4">
        <v>44922</v>
      </c>
      <c r="G476" s="5">
        <v>2022</v>
      </c>
      <c r="H476" s="3" t="s">
        <v>45</v>
      </c>
      <c r="I476" s="5">
        <v>2017</v>
      </c>
      <c r="J476" s="12">
        <v>66</v>
      </c>
      <c r="K476" s="13">
        <v>171</v>
      </c>
    </row>
    <row r="477" spans="1:11" x14ac:dyDescent="0.25">
      <c r="A477" s="6" t="s">
        <v>527</v>
      </c>
      <c r="B477" s="6" t="s">
        <v>42</v>
      </c>
      <c r="C477" s="6" t="s">
        <v>48</v>
      </c>
      <c r="D477" s="6" t="s">
        <v>14</v>
      </c>
      <c r="E477" s="14">
        <v>14.2</v>
      </c>
      <c r="F477" s="8">
        <v>44926</v>
      </c>
      <c r="G477" s="9">
        <v>2022</v>
      </c>
      <c r="H477" s="7" t="s">
        <v>45</v>
      </c>
      <c r="I477" s="9">
        <v>2016</v>
      </c>
      <c r="J477" s="14">
        <v>102.2</v>
      </c>
      <c r="K477" s="15">
        <v>263</v>
      </c>
    </row>
    <row r="478" spans="1:11" x14ac:dyDescent="0.25">
      <c r="A478" s="2" t="s">
        <v>528</v>
      </c>
      <c r="B478" s="2" t="s">
        <v>42</v>
      </c>
      <c r="C478" s="2" t="s">
        <v>63</v>
      </c>
      <c r="D478" s="2" t="s">
        <v>35</v>
      </c>
      <c r="E478" s="12">
        <v>211.3</v>
      </c>
      <c r="F478" s="4">
        <v>44926</v>
      </c>
      <c r="G478" s="5">
        <v>2022</v>
      </c>
      <c r="H478" s="3" t="s">
        <v>65</v>
      </c>
      <c r="I478" s="5">
        <v>2021</v>
      </c>
      <c r="J478" s="12">
        <v>1615.7</v>
      </c>
      <c r="K478" s="13">
        <v>3675</v>
      </c>
    </row>
    <row r="479" spans="1:11" x14ac:dyDescent="0.25">
      <c r="A479" s="6" t="s">
        <v>529</v>
      </c>
      <c r="B479" s="6" t="s">
        <v>12</v>
      </c>
      <c r="C479" s="6" t="s">
        <v>18</v>
      </c>
      <c r="D479" s="6" t="s">
        <v>14</v>
      </c>
      <c r="E479" s="14">
        <v>4.7</v>
      </c>
      <c r="F479" s="8">
        <v>44927</v>
      </c>
      <c r="G479" s="9">
        <v>2023</v>
      </c>
      <c r="H479" s="7" t="s">
        <v>60</v>
      </c>
      <c r="I479" s="9">
        <v>2021</v>
      </c>
      <c r="J479" s="14">
        <v>28.6</v>
      </c>
      <c r="K479" s="15">
        <v>84</v>
      </c>
    </row>
    <row r="480" spans="1:11" x14ac:dyDescent="0.25">
      <c r="A480" s="2" t="s">
        <v>530</v>
      </c>
      <c r="B480" s="2" t="s">
        <v>12</v>
      </c>
      <c r="C480" s="2" t="s">
        <v>63</v>
      </c>
      <c r="D480" s="2" t="s">
        <v>19</v>
      </c>
      <c r="E480" s="12">
        <v>45.7</v>
      </c>
      <c r="F480" s="4">
        <v>44928</v>
      </c>
      <c r="G480" s="5">
        <v>2023</v>
      </c>
      <c r="H480" s="3" t="s">
        <v>60</v>
      </c>
      <c r="I480" s="5">
        <v>2019</v>
      </c>
      <c r="J480" s="12">
        <v>392.9</v>
      </c>
      <c r="K480" s="13">
        <v>1052</v>
      </c>
    </row>
    <row r="481" spans="1:11" x14ac:dyDescent="0.25">
      <c r="A481" s="6" t="s">
        <v>531</v>
      </c>
      <c r="B481" s="6" t="s">
        <v>33</v>
      </c>
      <c r="C481" s="6" t="s">
        <v>34</v>
      </c>
      <c r="D481" s="6" t="s">
        <v>26</v>
      </c>
      <c r="E481" s="14">
        <v>31.4</v>
      </c>
      <c r="F481" s="8">
        <v>44939</v>
      </c>
      <c r="G481" s="9">
        <v>2023</v>
      </c>
      <c r="H481" s="7" t="s">
        <v>43</v>
      </c>
      <c r="I481" s="9">
        <v>2016</v>
      </c>
      <c r="J481" s="14">
        <v>248.4</v>
      </c>
      <c r="K481" s="15">
        <v>922</v>
      </c>
    </row>
    <row r="482" spans="1:11" x14ac:dyDescent="0.25">
      <c r="A482" s="2" t="s">
        <v>532</v>
      </c>
      <c r="B482" s="2" t="s">
        <v>33</v>
      </c>
      <c r="C482" s="2" t="s">
        <v>18</v>
      </c>
      <c r="D482" s="2" t="s">
        <v>14</v>
      </c>
      <c r="E482" s="12">
        <v>13.2</v>
      </c>
      <c r="F482" s="4">
        <v>44947</v>
      </c>
      <c r="G482" s="5">
        <v>2023</v>
      </c>
      <c r="H482" s="3" t="s">
        <v>37</v>
      </c>
      <c r="I482" s="5">
        <v>2018</v>
      </c>
      <c r="J482" s="12">
        <v>66.599999999999994</v>
      </c>
      <c r="K482" s="13">
        <v>213</v>
      </c>
    </row>
    <row r="483" spans="1:11" x14ac:dyDescent="0.25">
      <c r="A483" s="6" t="s">
        <v>533</v>
      </c>
      <c r="B483" s="6" t="s">
        <v>12</v>
      </c>
      <c r="C483" s="6" t="s">
        <v>48</v>
      </c>
      <c r="D483" s="6" t="s">
        <v>26</v>
      </c>
      <c r="E483" s="14">
        <v>28.9</v>
      </c>
      <c r="F483" s="8">
        <v>44952</v>
      </c>
      <c r="G483" s="9">
        <v>2023</v>
      </c>
      <c r="H483" s="7" t="s">
        <v>43</v>
      </c>
      <c r="I483" s="9">
        <v>2016</v>
      </c>
      <c r="J483" s="14">
        <v>204.3</v>
      </c>
      <c r="K483" s="15">
        <v>428</v>
      </c>
    </row>
    <row r="484" spans="1:11" x14ac:dyDescent="0.25">
      <c r="A484" s="2" t="s">
        <v>534</v>
      </c>
      <c r="B484" s="2" t="s">
        <v>29</v>
      </c>
      <c r="C484" s="2" t="s">
        <v>18</v>
      </c>
      <c r="D484" s="2" t="s">
        <v>26</v>
      </c>
      <c r="E484" s="12">
        <v>29.6</v>
      </c>
      <c r="F484" s="4">
        <v>44963</v>
      </c>
      <c r="G484" s="5">
        <v>2023</v>
      </c>
      <c r="H484" s="3" t="s">
        <v>27</v>
      </c>
      <c r="I484" s="5">
        <v>2023</v>
      </c>
      <c r="J484" s="12">
        <v>123.5</v>
      </c>
      <c r="K484" s="13">
        <v>240</v>
      </c>
    </row>
    <row r="485" spans="1:11" x14ac:dyDescent="0.25">
      <c r="A485" s="6" t="s">
        <v>535</v>
      </c>
      <c r="B485" s="6" t="s">
        <v>17</v>
      </c>
      <c r="C485" s="6" t="s">
        <v>18</v>
      </c>
      <c r="D485" s="6" t="s">
        <v>26</v>
      </c>
      <c r="E485" s="14">
        <v>14.3</v>
      </c>
      <c r="F485" s="8">
        <v>44963</v>
      </c>
      <c r="G485" s="9">
        <v>2023</v>
      </c>
      <c r="H485" s="7" t="s">
        <v>45</v>
      </c>
      <c r="I485" s="9">
        <v>2018</v>
      </c>
      <c r="J485" s="14">
        <v>56</v>
      </c>
      <c r="K485" s="15">
        <v>184</v>
      </c>
    </row>
    <row r="486" spans="1:11" x14ac:dyDescent="0.25">
      <c r="A486" s="2" t="s">
        <v>536</v>
      </c>
      <c r="B486" s="2" t="s">
        <v>29</v>
      </c>
      <c r="C486" s="2" t="s">
        <v>18</v>
      </c>
      <c r="D486" s="2" t="s">
        <v>14</v>
      </c>
      <c r="E486" s="12">
        <v>12.1</v>
      </c>
      <c r="F486" s="4">
        <v>44966</v>
      </c>
      <c r="G486" s="5">
        <v>2023</v>
      </c>
      <c r="H486" s="3" t="s">
        <v>23</v>
      </c>
      <c r="I486" s="5">
        <v>2014</v>
      </c>
      <c r="J486" s="12">
        <v>70.8</v>
      </c>
      <c r="K486" s="13">
        <v>125</v>
      </c>
    </row>
    <row r="487" spans="1:11" x14ac:dyDescent="0.25">
      <c r="A487" s="6" t="s">
        <v>537</v>
      </c>
      <c r="B487" s="6" t="s">
        <v>39</v>
      </c>
      <c r="C487" s="6" t="s">
        <v>34</v>
      </c>
      <c r="D487" s="6" t="s">
        <v>26</v>
      </c>
      <c r="E487" s="14">
        <v>42.3</v>
      </c>
      <c r="F487" s="8">
        <v>44966</v>
      </c>
      <c r="G487" s="9">
        <v>2023</v>
      </c>
      <c r="H487" s="7" t="s">
        <v>20</v>
      </c>
      <c r="I487" s="9">
        <v>2022</v>
      </c>
      <c r="J487" s="14">
        <v>148.19999999999999</v>
      </c>
      <c r="K487" s="15">
        <v>585</v>
      </c>
    </row>
    <row r="488" spans="1:11" x14ac:dyDescent="0.25">
      <c r="A488" s="2" t="s">
        <v>538</v>
      </c>
      <c r="B488" s="2" t="s">
        <v>17</v>
      </c>
      <c r="C488" s="2" t="s">
        <v>18</v>
      </c>
      <c r="D488" s="2" t="s">
        <v>14</v>
      </c>
      <c r="E488" s="12">
        <v>5</v>
      </c>
      <c r="F488" s="4">
        <v>44969</v>
      </c>
      <c r="G488" s="5">
        <v>2023</v>
      </c>
      <c r="H488" s="3" t="s">
        <v>123</v>
      </c>
      <c r="I488" s="5">
        <v>2012</v>
      </c>
      <c r="J488" s="12">
        <v>22.9</v>
      </c>
      <c r="K488" s="13">
        <v>35</v>
      </c>
    </row>
    <row r="489" spans="1:11" x14ac:dyDescent="0.25">
      <c r="A489" s="6" t="s">
        <v>539</v>
      </c>
      <c r="B489" s="6" t="s">
        <v>29</v>
      </c>
      <c r="C489" s="6" t="s">
        <v>63</v>
      </c>
      <c r="D489" s="6" t="s">
        <v>26</v>
      </c>
      <c r="E489" s="14">
        <v>16.899999999999999</v>
      </c>
      <c r="F489" s="8">
        <v>44972</v>
      </c>
      <c r="G489" s="9">
        <v>2023</v>
      </c>
      <c r="H489" s="7" t="s">
        <v>37</v>
      </c>
      <c r="I489" s="9">
        <v>2018</v>
      </c>
      <c r="J489" s="14">
        <v>132.1</v>
      </c>
      <c r="K489" s="15">
        <v>522</v>
      </c>
    </row>
    <row r="490" spans="1:11" x14ac:dyDescent="0.25">
      <c r="A490" s="2" t="s">
        <v>540</v>
      </c>
      <c r="B490" s="2" t="s">
        <v>47</v>
      </c>
      <c r="C490" s="2" t="s">
        <v>48</v>
      </c>
      <c r="D490" s="2" t="s">
        <v>31</v>
      </c>
      <c r="E490" s="12">
        <v>1.1000000000000001</v>
      </c>
      <c r="F490" s="4">
        <v>44972</v>
      </c>
      <c r="G490" s="5">
        <v>2023</v>
      </c>
      <c r="H490" s="3" t="s">
        <v>27</v>
      </c>
      <c r="I490" s="5">
        <v>2020</v>
      </c>
      <c r="J490" s="12">
        <v>7.7</v>
      </c>
      <c r="K490" s="13">
        <v>14</v>
      </c>
    </row>
    <row r="491" spans="1:11" x14ac:dyDescent="0.25">
      <c r="A491" s="6" t="s">
        <v>541</v>
      </c>
      <c r="B491" s="6" t="s">
        <v>42</v>
      </c>
      <c r="C491" s="6" t="s">
        <v>18</v>
      </c>
      <c r="D491" s="6" t="s">
        <v>14</v>
      </c>
      <c r="E491" s="14">
        <v>12.1</v>
      </c>
      <c r="F491" s="8">
        <v>44973</v>
      </c>
      <c r="G491" s="9">
        <v>2023</v>
      </c>
      <c r="H491" s="7" t="s">
        <v>37</v>
      </c>
      <c r="I491" s="9">
        <v>2017</v>
      </c>
      <c r="J491" s="14">
        <v>84.2</v>
      </c>
      <c r="K491" s="15">
        <v>253</v>
      </c>
    </row>
    <row r="492" spans="1:11" x14ac:dyDescent="0.25">
      <c r="A492" s="2" t="s">
        <v>542</v>
      </c>
      <c r="B492" s="2" t="s">
        <v>22</v>
      </c>
      <c r="C492" s="2" t="s">
        <v>48</v>
      </c>
      <c r="D492" s="2" t="s">
        <v>31</v>
      </c>
      <c r="E492" s="12">
        <v>4.5999999999999996</v>
      </c>
      <c r="F492" s="4">
        <v>44987</v>
      </c>
      <c r="G492" s="5">
        <v>2023</v>
      </c>
      <c r="H492" s="3" t="s">
        <v>55</v>
      </c>
      <c r="I492" s="5">
        <v>2016</v>
      </c>
      <c r="J492" s="12">
        <v>28.7</v>
      </c>
      <c r="K492" s="13">
        <v>69</v>
      </c>
    </row>
    <row r="493" spans="1:11" x14ac:dyDescent="0.25">
      <c r="A493" s="6" t="s">
        <v>543</v>
      </c>
      <c r="B493" s="6" t="s">
        <v>22</v>
      </c>
      <c r="C493" s="6" t="s">
        <v>34</v>
      </c>
      <c r="D493" s="6" t="s">
        <v>31</v>
      </c>
      <c r="E493" s="14">
        <v>1.3</v>
      </c>
      <c r="F493" s="8">
        <v>44990</v>
      </c>
      <c r="G493" s="9">
        <v>2023</v>
      </c>
      <c r="H493" s="7" t="s">
        <v>123</v>
      </c>
      <c r="I493" s="9">
        <v>2021</v>
      </c>
      <c r="J493" s="14">
        <v>12.4</v>
      </c>
      <c r="K493" s="15">
        <v>46</v>
      </c>
    </row>
    <row r="494" spans="1:11" x14ac:dyDescent="0.25">
      <c r="A494" s="2" t="s">
        <v>544</v>
      </c>
      <c r="B494" s="2" t="s">
        <v>29</v>
      </c>
      <c r="C494" s="2" t="s">
        <v>18</v>
      </c>
      <c r="D494" s="2" t="s">
        <v>14</v>
      </c>
      <c r="E494" s="12">
        <v>15.1</v>
      </c>
      <c r="F494" s="4">
        <v>44993</v>
      </c>
      <c r="G494" s="5">
        <v>2023</v>
      </c>
      <c r="H494" s="3" t="s">
        <v>45</v>
      </c>
      <c r="I494" s="5">
        <v>2021</v>
      </c>
      <c r="J494" s="12">
        <v>120.4</v>
      </c>
      <c r="K494" s="13">
        <v>375</v>
      </c>
    </row>
    <row r="495" spans="1:11" x14ac:dyDescent="0.25">
      <c r="A495" s="6" t="s">
        <v>545</v>
      </c>
      <c r="B495" s="6" t="s">
        <v>67</v>
      </c>
      <c r="C495" s="6" t="s">
        <v>13</v>
      </c>
      <c r="D495" s="6" t="s">
        <v>31</v>
      </c>
      <c r="E495" s="14">
        <v>1.9</v>
      </c>
      <c r="F495" s="8">
        <v>44994</v>
      </c>
      <c r="G495" s="9">
        <v>2023</v>
      </c>
      <c r="H495" s="7" t="s">
        <v>65</v>
      </c>
      <c r="I495" s="9">
        <v>2015</v>
      </c>
      <c r="J495" s="14">
        <v>18.2</v>
      </c>
      <c r="K495" s="15">
        <v>51</v>
      </c>
    </row>
    <row r="496" spans="1:11" x14ac:dyDescent="0.25">
      <c r="A496" s="2" t="s">
        <v>546</v>
      </c>
      <c r="B496" s="2" t="s">
        <v>100</v>
      </c>
      <c r="C496" s="2" t="s">
        <v>13</v>
      </c>
      <c r="D496" s="2" t="s">
        <v>26</v>
      </c>
      <c r="E496" s="12">
        <v>15</v>
      </c>
      <c r="F496" s="4">
        <v>44994</v>
      </c>
      <c r="G496" s="5">
        <v>2023</v>
      </c>
      <c r="H496" s="3" t="s">
        <v>20</v>
      </c>
      <c r="I496" s="5">
        <v>2016</v>
      </c>
      <c r="J496" s="12">
        <v>77.599999999999994</v>
      </c>
      <c r="K496" s="13">
        <v>215</v>
      </c>
    </row>
    <row r="497" spans="1:11" x14ac:dyDescent="0.25">
      <c r="A497" s="6" t="s">
        <v>547</v>
      </c>
      <c r="B497" s="6" t="s">
        <v>100</v>
      </c>
      <c r="C497" s="6" t="s">
        <v>18</v>
      </c>
      <c r="D497" s="6" t="s">
        <v>19</v>
      </c>
      <c r="E497" s="14">
        <v>131.1</v>
      </c>
      <c r="F497" s="8">
        <v>45004</v>
      </c>
      <c r="G497" s="9">
        <v>2023</v>
      </c>
      <c r="H497" s="7" t="s">
        <v>123</v>
      </c>
      <c r="I497" s="9">
        <v>2017</v>
      </c>
      <c r="J497" s="14">
        <v>580.20000000000005</v>
      </c>
      <c r="K497" s="15">
        <v>1962</v>
      </c>
    </row>
    <row r="498" spans="1:11" x14ac:dyDescent="0.25">
      <c r="A498" s="2" t="s">
        <v>548</v>
      </c>
      <c r="B498" s="2" t="s">
        <v>42</v>
      </c>
      <c r="C498" s="2" t="s">
        <v>34</v>
      </c>
      <c r="D498" s="2" t="s">
        <v>19</v>
      </c>
      <c r="E498" s="12">
        <v>45.9</v>
      </c>
      <c r="F498" s="4">
        <v>45004</v>
      </c>
      <c r="G498" s="5">
        <v>2023</v>
      </c>
      <c r="H498" s="3" t="s">
        <v>55</v>
      </c>
      <c r="I498" s="5">
        <v>2014</v>
      </c>
      <c r="J498" s="12">
        <v>289.39999999999998</v>
      </c>
      <c r="K498" s="13">
        <v>674</v>
      </c>
    </row>
    <row r="499" spans="1:11" x14ac:dyDescent="0.25">
      <c r="A499" s="6" t="s">
        <v>549</v>
      </c>
      <c r="B499" s="6" t="s">
        <v>33</v>
      </c>
      <c r="C499" s="6" t="s">
        <v>34</v>
      </c>
      <c r="D499" s="6" t="s">
        <v>14</v>
      </c>
      <c r="E499" s="14">
        <v>8.3000000000000007</v>
      </c>
      <c r="F499" s="8">
        <v>45006</v>
      </c>
      <c r="G499" s="9">
        <v>2023</v>
      </c>
      <c r="H499" s="7" t="s">
        <v>65</v>
      </c>
      <c r="I499" s="9">
        <v>2013</v>
      </c>
      <c r="J499" s="14">
        <v>31.3</v>
      </c>
      <c r="K499" s="15">
        <v>80</v>
      </c>
    </row>
    <row r="500" spans="1:11" x14ac:dyDescent="0.25">
      <c r="A500" s="2" t="s">
        <v>550</v>
      </c>
      <c r="B500" s="2" t="s">
        <v>42</v>
      </c>
      <c r="C500" s="2" t="s">
        <v>34</v>
      </c>
      <c r="D500" s="2" t="s">
        <v>19</v>
      </c>
      <c r="E500" s="12">
        <v>112.8</v>
      </c>
      <c r="F500" s="4">
        <v>45017</v>
      </c>
      <c r="G500" s="5">
        <v>2023</v>
      </c>
      <c r="H500" s="3" t="s">
        <v>20</v>
      </c>
      <c r="I500" s="5">
        <v>2016</v>
      </c>
      <c r="J500" s="12">
        <v>476.3</v>
      </c>
      <c r="K500" s="13">
        <v>1672</v>
      </c>
    </row>
    <row r="501" spans="1:11" x14ac:dyDescent="0.25">
      <c r="A501" s="6" t="s">
        <v>551</v>
      </c>
      <c r="B501" s="6" t="s">
        <v>33</v>
      </c>
      <c r="C501" s="6" t="s">
        <v>63</v>
      </c>
      <c r="D501" s="6" t="s">
        <v>19</v>
      </c>
      <c r="E501" s="14">
        <v>108.2</v>
      </c>
      <c r="F501" s="8">
        <v>45022</v>
      </c>
      <c r="G501" s="9">
        <v>2023</v>
      </c>
      <c r="H501" s="7" t="s">
        <v>15</v>
      </c>
      <c r="I501" s="9">
        <v>2015</v>
      </c>
      <c r="J501" s="14">
        <v>936.5</v>
      </c>
      <c r="K501" s="15">
        <v>3257</v>
      </c>
    </row>
    <row r="502" spans="1:11" x14ac:dyDescent="0.25">
      <c r="A502" s="2" t="s">
        <v>552</v>
      </c>
      <c r="B502" s="2" t="s">
        <v>29</v>
      </c>
      <c r="C502" s="2" t="s">
        <v>13</v>
      </c>
      <c r="D502" s="2" t="s">
        <v>14</v>
      </c>
      <c r="E502" s="12">
        <v>14.6</v>
      </c>
      <c r="F502" s="4">
        <v>45025</v>
      </c>
      <c r="G502" s="5">
        <v>2023</v>
      </c>
      <c r="H502" s="3" t="s">
        <v>37</v>
      </c>
      <c r="I502" s="5">
        <v>2019</v>
      </c>
      <c r="J502" s="12">
        <v>70.8</v>
      </c>
      <c r="K502" s="13">
        <v>201</v>
      </c>
    </row>
    <row r="503" spans="1:11" x14ac:dyDescent="0.25">
      <c r="A503" s="6" t="s">
        <v>553</v>
      </c>
      <c r="B503" s="6" t="s">
        <v>76</v>
      </c>
      <c r="C503" s="6" t="s">
        <v>63</v>
      </c>
      <c r="D503" s="6" t="s">
        <v>14</v>
      </c>
      <c r="E503" s="14">
        <v>11.8</v>
      </c>
      <c r="F503" s="8">
        <v>45026</v>
      </c>
      <c r="G503" s="9">
        <v>2023</v>
      </c>
      <c r="H503" s="7" t="s">
        <v>60</v>
      </c>
      <c r="I503" s="9">
        <v>2016</v>
      </c>
      <c r="J503" s="14">
        <v>48.3</v>
      </c>
      <c r="K503" s="15">
        <v>157</v>
      </c>
    </row>
    <row r="504" spans="1:11" x14ac:dyDescent="0.25">
      <c r="A504" s="2" t="s">
        <v>554</v>
      </c>
      <c r="B504" s="2" t="s">
        <v>29</v>
      </c>
      <c r="C504" s="2" t="s">
        <v>48</v>
      </c>
      <c r="D504" s="2" t="s">
        <v>26</v>
      </c>
      <c r="E504" s="12">
        <v>21.3</v>
      </c>
      <c r="F504" s="4">
        <v>45029</v>
      </c>
      <c r="G504" s="5">
        <v>2023</v>
      </c>
      <c r="H504" s="3" t="s">
        <v>58</v>
      </c>
      <c r="I504" s="5">
        <v>2013</v>
      </c>
      <c r="J504" s="12">
        <v>141.6</v>
      </c>
      <c r="K504" s="13">
        <v>495</v>
      </c>
    </row>
    <row r="505" spans="1:11" x14ac:dyDescent="0.25">
      <c r="A505" s="6" t="s">
        <v>555</v>
      </c>
      <c r="B505" s="6" t="s">
        <v>76</v>
      </c>
      <c r="C505" s="6" t="s">
        <v>18</v>
      </c>
      <c r="D505" s="6" t="s">
        <v>14</v>
      </c>
      <c r="E505" s="14">
        <v>7.8</v>
      </c>
      <c r="F505" s="8">
        <v>45031</v>
      </c>
      <c r="G505" s="9">
        <v>2023</v>
      </c>
      <c r="H505" s="7" t="s">
        <v>43</v>
      </c>
      <c r="I505" s="9">
        <v>2013</v>
      </c>
      <c r="J505" s="14">
        <v>33</v>
      </c>
      <c r="K505" s="15">
        <v>62</v>
      </c>
    </row>
    <row r="506" spans="1:11" x14ac:dyDescent="0.25">
      <c r="A506" s="2" t="s">
        <v>556</v>
      </c>
      <c r="B506" s="2" t="s">
        <v>17</v>
      </c>
      <c r="C506" s="2" t="s">
        <v>34</v>
      </c>
      <c r="D506" s="2" t="s">
        <v>19</v>
      </c>
      <c r="E506" s="12">
        <v>116.4</v>
      </c>
      <c r="F506" s="4">
        <v>45034</v>
      </c>
      <c r="G506" s="5">
        <v>2023</v>
      </c>
      <c r="H506" s="3" t="s">
        <v>43</v>
      </c>
      <c r="I506" s="5">
        <v>2018</v>
      </c>
      <c r="J506" s="12">
        <v>957.7</v>
      </c>
      <c r="K506" s="13">
        <v>1939</v>
      </c>
    </row>
    <row r="507" spans="1:11" x14ac:dyDescent="0.25">
      <c r="A507" s="6" t="s">
        <v>557</v>
      </c>
      <c r="B507" s="6" t="s">
        <v>12</v>
      </c>
      <c r="C507" s="6" t="s">
        <v>18</v>
      </c>
      <c r="D507" s="6" t="s">
        <v>14</v>
      </c>
      <c r="E507" s="14">
        <v>4.5999999999999996</v>
      </c>
      <c r="F507" s="8">
        <v>45034</v>
      </c>
      <c r="G507" s="9">
        <v>2023</v>
      </c>
      <c r="H507" s="7" t="s">
        <v>53</v>
      </c>
      <c r="I507" s="9">
        <v>2017</v>
      </c>
      <c r="J507" s="14">
        <v>36</v>
      </c>
      <c r="K507" s="15">
        <v>70</v>
      </c>
    </row>
    <row r="508" spans="1:11" x14ac:dyDescent="0.25">
      <c r="A508" s="2" t="s">
        <v>558</v>
      </c>
      <c r="B508" s="2" t="s">
        <v>67</v>
      </c>
      <c r="C508" s="2" t="s">
        <v>18</v>
      </c>
      <c r="D508" s="2" t="s">
        <v>14</v>
      </c>
      <c r="E508" s="12">
        <v>6.8</v>
      </c>
      <c r="F508" s="4">
        <v>45045</v>
      </c>
      <c r="G508" s="5">
        <v>2023</v>
      </c>
      <c r="H508" s="3" t="s">
        <v>107</v>
      </c>
      <c r="I508" s="5">
        <v>2017</v>
      </c>
      <c r="J508" s="12">
        <v>36.1</v>
      </c>
      <c r="K508" s="13">
        <v>60</v>
      </c>
    </row>
    <row r="509" spans="1:11" x14ac:dyDescent="0.25">
      <c r="A509" s="6" t="s">
        <v>559</v>
      </c>
      <c r="B509" s="6" t="s">
        <v>29</v>
      </c>
      <c r="C509" s="6" t="s">
        <v>13</v>
      </c>
      <c r="D509" s="6" t="s">
        <v>31</v>
      </c>
      <c r="E509" s="14">
        <v>3.6</v>
      </c>
      <c r="F509" s="8">
        <v>45051</v>
      </c>
      <c r="G509" s="9">
        <v>2023</v>
      </c>
      <c r="H509" s="7" t="s">
        <v>45</v>
      </c>
      <c r="I509" s="9">
        <v>2018</v>
      </c>
      <c r="J509" s="14">
        <v>24.5</v>
      </c>
      <c r="K509" s="15">
        <v>52</v>
      </c>
    </row>
    <row r="510" spans="1:11" x14ac:dyDescent="0.25">
      <c r="A510" s="2" t="s">
        <v>560</v>
      </c>
      <c r="B510" s="2" t="s">
        <v>76</v>
      </c>
      <c r="C510" s="2" t="s">
        <v>13</v>
      </c>
      <c r="D510" s="2" t="s">
        <v>14</v>
      </c>
      <c r="E510" s="12">
        <v>12.3</v>
      </c>
      <c r="F510" s="4">
        <v>45058</v>
      </c>
      <c r="G510" s="5">
        <v>2023</v>
      </c>
      <c r="H510" s="3" t="s">
        <v>58</v>
      </c>
      <c r="I510" s="5">
        <v>2023</v>
      </c>
      <c r="J510" s="12">
        <v>66.3</v>
      </c>
      <c r="K510" s="13">
        <v>238</v>
      </c>
    </row>
    <row r="511" spans="1:11" x14ac:dyDescent="0.25">
      <c r="A511" s="6" t="s">
        <v>561</v>
      </c>
      <c r="B511" s="6" t="s">
        <v>104</v>
      </c>
      <c r="C511" s="6" t="s">
        <v>18</v>
      </c>
      <c r="D511" s="6" t="s">
        <v>31</v>
      </c>
      <c r="E511" s="14">
        <v>3.2</v>
      </c>
      <c r="F511" s="8">
        <v>45058</v>
      </c>
      <c r="G511" s="9">
        <v>2023</v>
      </c>
      <c r="H511" s="7" t="s">
        <v>50</v>
      </c>
      <c r="I511" s="9">
        <v>2015</v>
      </c>
      <c r="J511" s="14">
        <v>19.600000000000001</v>
      </c>
      <c r="K511" s="15">
        <v>61</v>
      </c>
    </row>
    <row r="512" spans="1:11" x14ac:dyDescent="0.25">
      <c r="A512" s="2" t="s">
        <v>562</v>
      </c>
      <c r="B512" s="2" t="s">
        <v>29</v>
      </c>
      <c r="C512" s="2" t="s">
        <v>63</v>
      </c>
      <c r="D512" s="2" t="s">
        <v>31</v>
      </c>
      <c r="E512" s="12">
        <v>2.9</v>
      </c>
      <c r="F512" s="4">
        <v>45062</v>
      </c>
      <c r="G512" s="5">
        <v>2023</v>
      </c>
      <c r="H512" s="3" t="s">
        <v>37</v>
      </c>
      <c r="I512" s="5">
        <v>2021</v>
      </c>
      <c r="J512" s="12">
        <v>19.3</v>
      </c>
      <c r="K512" s="13">
        <v>69</v>
      </c>
    </row>
    <row r="513" spans="1:11" x14ac:dyDescent="0.25">
      <c r="A513" s="6" t="s">
        <v>563</v>
      </c>
      <c r="B513" s="6" t="s">
        <v>42</v>
      </c>
      <c r="C513" s="6" t="s">
        <v>34</v>
      </c>
      <c r="D513" s="6" t="s">
        <v>19</v>
      </c>
      <c r="E513" s="14">
        <v>72.2</v>
      </c>
      <c r="F513" s="8">
        <v>45069</v>
      </c>
      <c r="G513" s="9">
        <v>2023</v>
      </c>
      <c r="H513" s="7" t="s">
        <v>23</v>
      </c>
      <c r="I513" s="9">
        <v>2020</v>
      </c>
      <c r="J513" s="14">
        <v>669.3</v>
      </c>
      <c r="K513" s="15">
        <v>1734</v>
      </c>
    </row>
    <row r="514" spans="1:11" x14ac:dyDescent="0.25">
      <c r="A514" s="2" t="s">
        <v>564</v>
      </c>
      <c r="B514" s="2" t="s">
        <v>17</v>
      </c>
      <c r="C514" s="2" t="s">
        <v>34</v>
      </c>
      <c r="D514" s="2" t="s">
        <v>35</v>
      </c>
      <c r="E514" s="12">
        <v>337.2</v>
      </c>
      <c r="F514" s="4">
        <v>45071</v>
      </c>
      <c r="G514" s="5">
        <v>2023</v>
      </c>
      <c r="H514" s="3" t="s">
        <v>23</v>
      </c>
      <c r="I514" s="5">
        <v>2018</v>
      </c>
      <c r="J514" s="12">
        <v>2047.1</v>
      </c>
      <c r="K514" s="13">
        <v>7073</v>
      </c>
    </row>
    <row r="515" spans="1:11" x14ac:dyDescent="0.25">
      <c r="A515" s="6" t="s">
        <v>565</v>
      </c>
      <c r="B515" s="6" t="s">
        <v>100</v>
      </c>
      <c r="C515" s="6" t="s">
        <v>13</v>
      </c>
      <c r="D515" s="6" t="s">
        <v>31</v>
      </c>
      <c r="E515" s="14">
        <v>2.5</v>
      </c>
      <c r="F515" s="8">
        <v>45076</v>
      </c>
      <c r="G515" s="9">
        <v>2023</v>
      </c>
      <c r="H515" s="7" t="s">
        <v>27</v>
      </c>
      <c r="I515" s="9">
        <v>2020</v>
      </c>
      <c r="J515" s="14">
        <v>20.7</v>
      </c>
      <c r="K515" s="15">
        <v>45</v>
      </c>
    </row>
    <row r="516" spans="1:11" x14ac:dyDescent="0.25">
      <c r="A516" s="2" t="s">
        <v>566</v>
      </c>
      <c r="B516" s="2" t="s">
        <v>22</v>
      </c>
      <c r="C516" s="2" t="s">
        <v>13</v>
      </c>
      <c r="D516" s="2" t="s">
        <v>14</v>
      </c>
      <c r="E516" s="12">
        <v>6.4</v>
      </c>
      <c r="F516" s="4">
        <v>45079</v>
      </c>
      <c r="G516" s="5">
        <v>2023</v>
      </c>
      <c r="H516" s="3" t="s">
        <v>60</v>
      </c>
      <c r="I516" s="5">
        <v>2019</v>
      </c>
      <c r="J516" s="12">
        <v>40.200000000000003</v>
      </c>
      <c r="K516" s="13">
        <v>89</v>
      </c>
    </row>
    <row r="517" spans="1:11" x14ac:dyDescent="0.25">
      <c r="A517" s="6" t="s">
        <v>567</v>
      </c>
      <c r="B517" s="6" t="s">
        <v>22</v>
      </c>
      <c r="C517" s="6" t="s">
        <v>40</v>
      </c>
      <c r="D517" s="6" t="s">
        <v>14</v>
      </c>
      <c r="E517" s="14">
        <v>11.5</v>
      </c>
      <c r="F517" s="8">
        <v>45079</v>
      </c>
      <c r="G517" s="9">
        <v>2023</v>
      </c>
      <c r="H517" s="7" t="s">
        <v>53</v>
      </c>
      <c r="I517" s="9">
        <v>2017</v>
      </c>
      <c r="J517" s="14">
        <v>60.2</v>
      </c>
      <c r="K517" s="15">
        <v>235</v>
      </c>
    </row>
    <row r="518" spans="1:11" x14ac:dyDescent="0.25">
      <c r="A518" s="2" t="s">
        <v>568</v>
      </c>
      <c r="B518" s="2" t="s">
        <v>104</v>
      </c>
      <c r="C518" s="2" t="s">
        <v>34</v>
      </c>
      <c r="D518" s="2" t="s">
        <v>14</v>
      </c>
      <c r="E518" s="12">
        <v>9.6999999999999993</v>
      </c>
      <c r="F518" s="4">
        <v>45079</v>
      </c>
      <c r="G518" s="5">
        <v>2023</v>
      </c>
      <c r="H518" s="3" t="s">
        <v>50</v>
      </c>
      <c r="I518" s="5">
        <v>2023</v>
      </c>
      <c r="J518" s="12">
        <v>38.1</v>
      </c>
      <c r="K518" s="13">
        <v>148</v>
      </c>
    </row>
    <row r="519" spans="1:11" x14ac:dyDescent="0.25">
      <c r="A519" s="6" t="s">
        <v>569</v>
      </c>
      <c r="B519" s="6" t="s">
        <v>42</v>
      </c>
      <c r="C519" s="6" t="s">
        <v>13</v>
      </c>
      <c r="D519" s="6" t="s">
        <v>26</v>
      </c>
      <c r="E519" s="14">
        <v>31.2</v>
      </c>
      <c r="F519" s="8">
        <v>45089</v>
      </c>
      <c r="G519" s="9">
        <v>2023</v>
      </c>
      <c r="H519" s="7" t="s">
        <v>123</v>
      </c>
      <c r="I519" s="9">
        <v>2014</v>
      </c>
      <c r="J519" s="14">
        <v>217.9</v>
      </c>
      <c r="K519" s="15">
        <v>818</v>
      </c>
    </row>
    <row r="520" spans="1:11" x14ac:dyDescent="0.25">
      <c r="A520" s="2" t="s">
        <v>570</v>
      </c>
      <c r="B520" s="2" t="s">
        <v>33</v>
      </c>
      <c r="C520" s="2" t="s">
        <v>18</v>
      </c>
      <c r="D520" s="2" t="s">
        <v>26</v>
      </c>
      <c r="E520" s="12">
        <v>17.7</v>
      </c>
      <c r="F520" s="4">
        <v>45090</v>
      </c>
      <c r="G520" s="5">
        <v>2023</v>
      </c>
      <c r="H520" s="3" t="s">
        <v>43</v>
      </c>
      <c r="I520" s="5">
        <v>2017</v>
      </c>
      <c r="J520" s="12">
        <v>140</v>
      </c>
      <c r="K520" s="13">
        <v>221</v>
      </c>
    </row>
    <row r="521" spans="1:11" x14ac:dyDescent="0.25">
      <c r="A521" s="6" t="s">
        <v>571</v>
      </c>
      <c r="B521" s="6" t="s">
        <v>47</v>
      </c>
      <c r="C521" s="6" t="s">
        <v>63</v>
      </c>
      <c r="D521" s="6" t="s">
        <v>19</v>
      </c>
      <c r="E521" s="14">
        <v>98.7</v>
      </c>
      <c r="F521" s="8">
        <v>45090</v>
      </c>
      <c r="G521" s="9">
        <v>2023</v>
      </c>
      <c r="H521" s="7" t="s">
        <v>53</v>
      </c>
      <c r="I521" s="9">
        <v>2017</v>
      </c>
      <c r="J521" s="14">
        <v>693.2</v>
      </c>
      <c r="K521" s="15">
        <v>1570</v>
      </c>
    </row>
    <row r="522" spans="1:11" x14ac:dyDescent="0.25">
      <c r="A522" s="2" t="s">
        <v>572</v>
      </c>
      <c r="B522" s="2" t="s">
        <v>100</v>
      </c>
      <c r="C522" s="2" t="s">
        <v>13</v>
      </c>
      <c r="D522" s="2" t="s">
        <v>19</v>
      </c>
      <c r="E522" s="12">
        <v>73</v>
      </c>
      <c r="F522" s="4">
        <v>45096</v>
      </c>
      <c r="G522" s="5">
        <v>2023</v>
      </c>
      <c r="H522" s="3" t="s">
        <v>65</v>
      </c>
      <c r="I522" s="5">
        <v>2019</v>
      </c>
      <c r="J522" s="12">
        <v>625.5</v>
      </c>
      <c r="K522" s="13">
        <v>945</v>
      </c>
    </row>
    <row r="523" spans="1:11" x14ac:dyDescent="0.25">
      <c r="A523" s="6" t="s">
        <v>573</v>
      </c>
      <c r="B523" s="6" t="s">
        <v>29</v>
      </c>
      <c r="C523" s="6" t="s">
        <v>63</v>
      </c>
      <c r="D523" s="6" t="s">
        <v>35</v>
      </c>
      <c r="E523" s="14">
        <v>364.7</v>
      </c>
      <c r="F523" s="8">
        <v>45101</v>
      </c>
      <c r="G523" s="9">
        <v>2023</v>
      </c>
      <c r="H523" s="7" t="s">
        <v>43</v>
      </c>
      <c r="I523" s="9">
        <v>2018</v>
      </c>
      <c r="J523" s="14">
        <v>2518.3000000000002</v>
      </c>
      <c r="K523" s="15">
        <v>6416</v>
      </c>
    </row>
    <row r="524" spans="1:11" x14ac:dyDescent="0.25">
      <c r="A524" s="2" t="s">
        <v>574</v>
      </c>
      <c r="B524" s="2" t="s">
        <v>12</v>
      </c>
      <c r="C524" s="2" t="s">
        <v>34</v>
      </c>
      <c r="D524" s="2" t="s">
        <v>14</v>
      </c>
      <c r="E524" s="12">
        <v>13</v>
      </c>
      <c r="F524" s="4">
        <v>45102</v>
      </c>
      <c r="G524" s="5">
        <v>2023</v>
      </c>
      <c r="H524" s="3" t="s">
        <v>15</v>
      </c>
      <c r="I524" s="5">
        <v>2021</v>
      </c>
      <c r="J524" s="12">
        <v>92.2</v>
      </c>
      <c r="K524" s="13">
        <v>290</v>
      </c>
    </row>
    <row r="525" spans="1:11" x14ac:dyDescent="0.25">
      <c r="A525" s="6" t="s">
        <v>575</v>
      </c>
      <c r="B525" s="6" t="s">
        <v>29</v>
      </c>
      <c r="C525" s="6" t="s">
        <v>34</v>
      </c>
      <c r="D525" s="6" t="s">
        <v>14</v>
      </c>
      <c r="E525" s="14">
        <v>9.9</v>
      </c>
      <c r="F525" s="8">
        <v>45109</v>
      </c>
      <c r="G525" s="9">
        <v>2023</v>
      </c>
      <c r="H525" s="7" t="s">
        <v>123</v>
      </c>
      <c r="I525" s="9">
        <v>2021</v>
      </c>
      <c r="J525" s="14">
        <v>62.3</v>
      </c>
      <c r="K525" s="15">
        <v>219</v>
      </c>
    </row>
    <row r="526" spans="1:11" x14ac:dyDescent="0.25">
      <c r="A526" s="2" t="s">
        <v>576</v>
      </c>
      <c r="B526" s="2" t="s">
        <v>76</v>
      </c>
      <c r="C526" s="2" t="s">
        <v>18</v>
      </c>
      <c r="D526" s="2" t="s">
        <v>26</v>
      </c>
      <c r="E526" s="12">
        <v>31.9</v>
      </c>
      <c r="F526" s="4">
        <v>45114</v>
      </c>
      <c r="G526" s="5">
        <v>2023</v>
      </c>
      <c r="H526" s="3" t="s">
        <v>45</v>
      </c>
      <c r="I526" s="5">
        <v>2022</v>
      </c>
      <c r="J526" s="12">
        <v>193.4</v>
      </c>
      <c r="K526" s="13">
        <v>539</v>
      </c>
    </row>
    <row r="527" spans="1:11" x14ac:dyDescent="0.25">
      <c r="A527" s="6" t="s">
        <v>577</v>
      </c>
      <c r="B527" s="6" t="s">
        <v>12</v>
      </c>
      <c r="C527" s="6" t="s">
        <v>34</v>
      </c>
      <c r="D527" s="6" t="s">
        <v>35</v>
      </c>
      <c r="E527" s="14">
        <v>261.39999999999998</v>
      </c>
      <c r="F527" s="8">
        <v>45117</v>
      </c>
      <c r="G527" s="9">
        <v>2023</v>
      </c>
      <c r="H527" s="7" t="s">
        <v>23</v>
      </c>
      <c r="I527" s="9">
        <v>2013</v>
      </c>
      <c r="J527" s="14">
        <v>2235.4</v>
      </c>
      <c r="K527" s="15">
        <v>6266</v>
      </c>
    </row>
    <row r="528" spans="1:11" x14ac:dyDescent="0.25">
      <c r="A528" s="2" t="s">
        <v>578</v>
      </c>
      <c r="B528" s="2" t="s">
        <v>29</v>
      </c>
      <c r="C528" s="2" t="s">
        <v>63</v>
      </c>
      <c r="D528" s="2" t="s">
        <v>31</v>
      </c>
      <c r="E528" s="12">
        <v>2.7</v>
      </c>
      <c r="F528" s="4">
        <v>45122</v>
      </c>
      <c r="G528" s="5">
        <v>2023</v>
      </c>
      <c r="H528" s="3" t="s">
        <v>50</v>
      </c>
      <c r="I528" s="5">
        <v>2015</v>
      </c>
      <c r="J528" s="12">
        <v>12</v>
      </c>
      <c r="K528" s="13">
        <v>19</v>
      </c>
    </row>
    <row r="529" spans="1:11" x14ac:dyDescent="0.25">
      <c r="A529" s="6" t="s">
        <v>579</v>
      </c>
      <c r="B529" s="6" t="s">
        <v>47</v>
      </c>
      <c r="C529" s="6" t="s">
        <v>18</v>
      </c>
      <c r="D529" s="6" t="s">
        <v>31</v>
      </c>
      <c r="E529" s="14">
        <v>3.6</v>
      </c>
      <c r="F529" s="8">
        <v>45123</v>
      </c>
      <c r="G529" s="9">
        <v>2023</v>
      </c>
      <c r="H529" s="7" t="s">
        <v>123</v>
      </c>
      <c r="I529" s="9">
        <v>2017</v>
      </c>
      <c r="J529" s="14">
        <v>34.200000000000003</v>
      </c>
      <c r="K529" s="15">
        <v>122</v>
      </c>
    </row>
    <row r="530" spans="1:11" x14ac:dyDescent="0.25">
      <c r="A530" s="2" t="s">
        <v>580</v>
      </c>
      <c r="B530" s="2" t="s">
        <v>42</v>
      </c>
      <c r="C530" s="2" t="s">
        <v>13</v>
      </c>
      <c r="D530" s="2" t="s">
        <v>19</v>
      </c>
      <c r="E530" s="12">
        <v>82.4</v>
      </c>
      <c r="F530" s="4">
        <v>45128</v>
      </c>
      <c r="G530" s="5">
        <v>2023</v>
      </c>
      <c r="H530" s="3" t="s">
        <v>45</v>
      </c>
      <c r="I530" s="5">
        <v>2017</v>
      </c>
      <c r="J530" s="12">
        <v>373</v>
      </c>
      <c r="K530" s="13">
        <v>873</v>
      </c>
    </row>
    <row r="531" spans="1:11" x14ac:dyDescent="0.25">
      <c r="A531" s="6" t="s">
        <v>581</v>
      </c>
      <c r="B531" s="6" t="s">
        <v>67</v>
      </c>
      <c r="C531" s="6" t="s">
        <v>18</v>
      </c>
      <c r="D531" s="6" t="s">
        <v>35</v>
      </c>
      <c r="E531" s="14">
        <v>301.2</v>
      </c>
      <c r="F531" s="8">
        <v>45129</v>
      </c>
      <c r="G531" s="9">
        <v>2023</v>
      </c>
      <c r="H531" s="7" t="s">
        <v>43</v>
      </c>
      <c r="I531" s="9">
        <v>2020</v>
      </c>
      <c r="J531" s="14">
        <v>2565.1999999999998</v>
      </c>
      <c r="K531" s="15">
        <v>6403</v>
      </c>
    </row>
    <row r="532" spans="1:11" x14ac:dyDescent="0.25">
      <c r="A532" s="2" t="s">
        <v>582</v>
      </c>
      <c r="B532" s="2" t="s">
        <v>12</v>
      </c>
      <c r="C532" s="2" t="s">
        <v>13</v>
      </c>
      <c r="D532" s="2" t="s">
        <v>35</v>
      </c>
      <c r="E532" s="12">
        <v>141.5</v>
      </c>
      <c r="F532" s="4">
        <v>45133</v>
      </c>
      <c r="G532" s="5">
        <v>2023</v>
      </c>
      <c r="H532" s="3" t="s">
        <v>23</v>
      </c>
      <c r="I532" s="5">
        <v>2012</v>
      </c>
      <c r="J532" s="12">
        <v>771.8</v>
      </c>
      <c r="K532" s="13">
        <v>1630</v>
      </c>
    </row>
    <row r="533" spans="1:11" x14ac:dyDescent="0.25">
      <c r="A533" s="6" t="s">
        <v>583</v>
      </c>
      <c r="B533" s="6" t="s">
        <v>17</v>
      </c>
      <c r="C533" s="6" t="s">
        <v>71</v>
      </c>
      <c r="D533" s="6" t="s">
        <v>14</v>
      </c>
      <c r="E533" s="14">
        <v>19.2</v>
      </c>
      <c r="F533" s="8">
        <v>45138</v>
      </c>
      <c r="G533" s="9">
        <v>2023</v>
      </c>
      <c r="H533" s="7" t="s">
        <v>20</v>
      </c>
      <c r="I533" s="9">
        <v>2016</v>
      </c>
      <c r="J533" s="14">
        <v>118.8</v>
      </c>
      <c r="K533" s="15">
        <v>434</v>
      </c>
    </row>
    <row r="534" spans="1:11" x14ac:dyDescent="0.25">
      <c r="A534" s="2" t="s">
        <v>584</v>
      </c>
      <c r="B534" s="2" t="s">
        <v>100</v>
      </c>
      <c r="C534" s="2" t="s">
        <v>13</v>
      </c>
      <c r="D534" s="2" t="s">
        <v>19</v>
      </c>
      <c r="E534" s="12">
        <v>80.599999999999994</v>
      </c>
      <c r="F534" s="4">
        <v>45140</v>
      </c>
      <c r="G534" s="5">
        <v>2023</v>
      </c>
      <c r="H534" s="3" t="s">
        <v>107</v>
      </c>
      <c r="I534" s="5">
        <v>2021</v>
      </c>
      <c r="J534" s="12">
        <v>581.79999999999995</v>
      </c>
      <c r="K534" s="13">
        <v>2107</v>
      </c>
    </row>
    <row r="535" spans="1:11" x14ac:dyDescent="0.25">
      <c r="A535" s="6" t="s">
        <v>585</v>
      </c>
      <c r="B535" s="6" t="s">
        <v>33</v>
      </c>
      <c r="C535" s="6" t="s">
        <v>63</v>
      </c>
      <c r="D535" s="6" t="s">
        <v>19</v>
      </c>
      <c r="E535" s="14">
        <v>106.1</v>
      </c>
      <c r="F535" s="8">
        <v>45141</v>
      </c>
      <c r="G535" s="9">
        <v>2023</v>
      </c>
      <c r="H535" s="7" t="s">
        <v>27</v>
      </c>
      <c r="I535" s="9">
        <v>2022</v>
      </c>
      <c r="J535" s="14">
        <v>658.6</v>
      </c>
      <c r="K535" s="15">
        <v>2010</v>
      </c>
    </row>
    <row r="536" spans="1:11" x14ac:dyDescent="0.25">
      <c r="A536" s="2" t="s">
        <v>586</v>
      </c>
      <c r="B536" s="2" t="s">
        <v>12</v>
      </c>
      <c r="C536" s="2" t="s">
        <v>18</v>
      </c>
      <c r="D536" s="2" t="s">
        <v>14</v>
      </c>
      <c r="E536" s="12">
        <v>14.5</v>
      </c>
      <c r="F536" s="4">
        <v>45141</v>
      </c>
      <c r="G536" s="5">
        <v>2023</v>
      </c>
      <c r="H536" s="3" t="s">
        <v>15</v>
      </c>
      <c r="I536" s="5">
        <v>2018</v>
      </c>
      <c r="J536" s="12">
        <v>113.5</v>
      </c>
      <c r="K536" s="13">
        <v>425</v>
      </c>
    </row>
    <row r="537" spans="1:11" x14ac:dyDescent="0.25">
      <c r="A537" s="6" t="s">
        <v>587</v>
      </c>
      <c r="B537" s="6" t="s">
        <v>42</v>
      </c>
      <c r="C537" s="6" t="s">
        <v>71</v>
      </c>
      <c r="D537" s="6" t="s">
        <v>14</v>
      </c>
      <c r="E537" s="14">
        <v>11.3</v>
      </c>
      <c r="F537" s="8">
        <v>45148</v>
      </c>
      <c r="G537" s="9">
        <v>2023</v>
      </c>
      <c r="H537" s="7" t="s">
        <v>27</v>
      </c>
      <c r="I537" s="9">
        <v>2015</v>
      </c>
      <c r="J537" s="14">
        <v>56.8</v>
      </c>
      <c r="K537" s="15">
        <v>174</v>
      </c>
    </row>
    <row r="538" spans="1:11" x14ac:dyDescent="0.25">
      <c r="A538" s="2" t="s">
        <v>588</v>
      </c>
      <c r="B538" s="2" t="s">
        <v>104</v>
      </c>
      <c r="C538" s="2" t="s">
        <v>40</v>
      </c>
      <c r="D538" s="2" t="s">
        <v>35</v>
      </c>
      <c r="E538" s="12">
        <v>195.2</v>
      </c>
      <c r="F538" s="4">
        <v>45157</v>
      </c>
      <c r="G538" s="5">
        <v>2023</v>
      </c>
      <c r="H538" s="3" t="s">
        <v>45</v>
      </c>
      <c r="I538" s="5">
        <v>2013</v>
      </c>
      <c r="J538" s="12">
        <v>961.8</v>
      </c>
      <c r="K538" s="13">
        <v>3283</v>
      </c>
    </row>
    <row r="539" spans="1:11" x14ac:dyDescent="0.25">
      <c r="A539" s="6" t="s">
        <v>589</v>
      </c>
      <c r="B539" s="6" t="s">
        <v>33</v>
      </c>
      <c r="C539" s="6" t="s">
        <v>18</v>
      </c>
      <c r="D539" s="6" t="s">
        <v>35</v>
      </c>
      <c r="E539" s="14">
        <v>154.30000000000001</v>
      </c>
      <c r="F539" s="8">
        <v>45160</v>
      </c>
      <c r="G539" s="9">
        <v>2023</v>
      </c>
      <c r="H539" s="7" t="s">
        <v>20</v>
      </c>
      <c r="I539" s="9">
        <v>2016</v>
      </c>
      <c r="J539" s="14">
        <v>796.2</v>
      </c>
      <c r="K539" s="15">
        <v>2125</v>
      </c>
    </row>
    <row r="540" spans="1:11" x14ac:dyDescent="0.25">
      <c r="A540" s="2" t="s">
        <v>590</v>
      </c>
      <c r="B540" s="2" t="s">
        <v>76</v>
      </c>
      <c r="C540" s="2" t="s">
        <v>13</v>
      </c>
      <c r="D540" s="2" t="s">
        <v>31</v>
      </c>
      <c r="E540" s="12">
        <v>3.1</v>
      </c>
      <c r="F540" s="4">
        <v>45162</v>
      </c>
      <c r="G540" s="5">
        <v>2023</v>
      </c>
      <c r="H540" s="3" t="s">
        <v>53</v>
      </c>
      <c r="I540" s="5">
        <v>2018</v>
      </c>
      <c r="J540" s="12">
        <v>13.3</v>
      </c>
      <c r="K540" s="13">
        <v>45</v>
      </c>
    </row>
    <row r="541" spans="1:11" x14ac:dyDescent="0.25">
      <c r="A541" s="6" t="s">
        <v>591</v>
      </c>
      <c r="B541" s="6" t="s">
        <v>17</v>
      </c>
      <c r="C541" s="6" t="s">
        <v>18</v>
      </c>
      <c r="D541" s="6" t="s">
        <v>35</v>
      </c>
      <c r="E541" s="14">
        <v>179</v>
      </c>
      <c r="F541" s="8">
        <v>45165</v>
      </c>
      <c r="G541" s="9">
        <v>2023</v>
      </c>
      <c r="H541" s="7" t="s">
        <v>123</v>
      </c>
      <c r="I541" s="9">
        <v>2017</v>
      </c>
      <c r="J541" s="14">
        <v>1194.8</v>
      </c>
      <c r="K541" s="15">
        <v>2556</v>
      </c>
    </row>
    <row r="542" spans="1:11" x14ac:dyDescent="0.25">
      <c r="A542" s="2" t="s">
        <v>592</v>
      </c>
      <c r="B542" s="2" t="s">
        <v>29</v>
      </c>
      <c r="C542" s="2" t="s">
        <v>18</v>
      </c>
      <c r="D542" s="2" t="s">
        <v>19</v>
      </c>
      <c r="E542" s="12">
        <v>143.19999999999999</v>
      </c>
      <c r="F542" s="4">
        <v>45166</v>
      </c>
      <c r="G542" s="5">
        <v>2023</v>
      </c>
      <c r="H542" s="3" t="s">
        <v>55</v>
      </c>
      <c r="I542" s="5">
        <v>2014</v>
      </c>
      <c r="J542" s="12">
        <v>848.8</v>
      </c>
      <c r="K542" s="13">
        <v>1637</v>
      </c>
    </row>
    <row r="543" spans="1:11" x14ac:dyDescent="0.25">
      <c r="A543" s="6" t="s">
        <v>593</v>
      </c>
      <c r="B543" s="6" t="s">
        <v>22</v>
      </c>
      <c r="C543" s="6" t="s">
        <v>34</v>
      </c>
      <c r="D543" s="6" t="s">
        <v>19</v>
      </c>
      <c r="E543" s="14">
        <v>66.5</v>
      </c>
      <c r="F543" s="8">
        <v>45171</v>
      </c>
      <c r="G543" s="9">
        <v>2023</v>
      </c>
      <c r="H543" s="7" t="s">
        <v>60</v>
      </c>
      <c r="I543" s="9">
        <v>2019</v>
      </c>
      <c r="J543" s="14">
        <v>568.6</v>
      </c>
      <c r="K543" s="15">
        <v>1822</v>
      </c>
    </row>
    <row r="544" spans="1:11" x14ac:dyDescent="0.25">
      <c r="A544" s="2" t="s">
        <v>594</v>
      </c>
      <c r="B544" s="2" t="s">
        <v>47</v>
      </c>
      <c r="C544" s="2" t="s">
        <v>71</v>
      </c>
      <c r="D544" s="2" t="s">
        <v>31</v>
      </c>
      <c r="E544" s="12">
        <v>3.8</v>
      </c>
      <c r="F544" s="4">
        <v>45177</v>
      </c>
      <c r="G544" s="5">
        <v>2023</v>
      </c>
      <c r="H544" s="3" t="s">
        <v>43</v>
      </c>
      <c r="I544" s="5">
        <v>2019</v>
      </c>
      <c r="J544" s="12">
        <v>23.9</v>
      </c>
      <c r="K544" s="13">
        <v>82</v>
      </c>
    </row>
    <row r="545" spans="1:11" x14ac:dyDescent="0.25">
      <c r="A545" s="6" t="s">
        <v>595</v>
      </c>
      <c r="B545" s="6" t="s">
        <v>33</v>
      </c>
      <c r="C545" s="6" t="s">
        <v>63</v>
      </c>
      <c r="D545" s="6" t="s">
        <v>26</v>
      </c>
      <c r="E545" s="14">
        <v>25.1</v>
      </c>
      <c r="F545" s="8">
        <v>45177</v>
      </c>
      <c r="G545" s="9">
        <v>2023</v>
      </c>
      <c r="H545" s="7" t="s">
        <v>55</v>
      </c>
      <c r="I545" s="9">
        <v>2021</v>
      </c>
      <c r="J545" s="14">
        <v>103.7</v>
      </c>
      <c r="K545" s="15">
        <v>261</v>
      </c>
    </row>
    <row r="546" spans="1:11" x14ac:dyDescent="0.25">
      <c r="A546" s="2" t="s">
        <v>596</v>
      </c>
      <c r="B546" s="2" t="s">
        <v>42</v>
      </c>
      <c r="C546" s="2" t="s">
        <v>71</v>
      </c>
      <c r="D546" s="2" t="s">
        <v>31</v>
      </c>
      <c r="E546" s="12">
        <v>3.5</v>
      </c>
      <c r="F546" s="4">
        <v>45182</v>
      </c>
      <c r="G546" s="5">
        <v>2023</v>
      </c>
      <c r="H546" s="3" t="s">
        <v>123</v>
      </c>
      <c r="I546" s="5">
        <v>2014</v>
      </c>
      <c r="J546" s="12">
        <v>24.9</v>
      </c>
      <c r="K546" s="13">
        <v>72</v>
      </c>
    </row>
    <row r="547" spans="1:11" x14ac:dyDescent="0.25">
      <c r="A547" s="6" t="s">
        <v>597</v>
      </c>
      <c r="B547" s="6" t="s">
        <v>47</v>
      </c>
      <c r="C547" s="6" t="s">
        <v>13</v>
      </c>
      <c r="D547" s="6" t="s">
        <v>14</v>
      </c>
      <c r="E547" s="14">
        <v>9.4</v>
      </c>
      <c r="F547" s="8">
        <v>45188</v>
      </c>
      <c r="G547" s="9">
        <v>2023</v>
      </c>
      <c r="H547" s="7" t="s">
        <v>107</v>
      </c>
      <c r="I547" s="9">
        <v>2017</v>
      </c>
      <c r="J547" s="14">
        <v>61.8</v>
      </c>
      <c r="K547" s="15">
        <v>123</v>
      </c>
    </row>
    <row r="548" spans="1:11" x14ac:dyDescent="0.25">
      <c r="A548" s="2" t="s">
        <v>598</v>
      </c>
      <c r="B548" s="2" t="s">
        <v>104</v>
      </c>
      <c r="C548" s="2" t="s">
        <v>18</v>
      </c>
      <c r="D548" s="2" t="s">
        <v>14</v>
      </c>
      <c r="E548" s="12">
        <v>9.6999999999999993</v>
      </c>
      <c r="F548" s="4">
        <v>45191</v>
      </c>
      <c r="G548" s="5">
        <v>2023</v>
      </c>
      <c r="H548" s="3" t="s">
        <v>55</v>
      </c>
      <c r="I548" s="5">
        <v>2015</v>
      </c>
      <c r="J548" s="12">
        <v>49.5</v>
      </c>
      <c r="K548" s="13">
        <v>85</v>
      </c>
    </row>
    <row r="549" spans="1:11" x14ac:dyDescent="0.25">
      <c r="A549" s="6" t="s">
        <v>599</v>
      </c>
      <c r="B549" s="6" t="s">
        <v>17</v>
      </c>
      <c r="C549" s="6" t="s">
        <v>18</v>
      </c>
      <c r="D549" s="6" t="s">
        <v>26</v>
      </c>
      <c r="E549" s="14">
        <v>23.1</v>
      </c>
      <c r="F549" s="8">
        <v>45195</v>
      </c>
      <c r="G549" s="9">
        <v>2023</v>
      </c>
      <c r="H549" s="7" t="s">
        <v>60</v>
      </c>
      <c r="I549" s="9">
        <v>2022</v>
      </c>
      <c r="J549" s="14">
        <v>166</v>
      </c>
      <c r="K549" s="15">
        <v>356</v>
      </c>
    </row>
    <row r="550" spans="1:11" x14ac:dyDescent="0.25">
      <c r="A550" s="2" t="s">
        <v>600</v>
      </c>
      <c r="B550" s="2" t="s">
        <v>42</v>
      </c>
      <c r="C550" s="2" t="s">
        <v>13</v>
      </c>
      <c r="D550" s="2" t="s">
        <v>14</v>
      </c>
      <c r="E550" s="12">
        <v>11.7</v>
      </c>
      <c r="F550" s="4">
        <v>45195</v>
      </c>
      <c r="G550" s="5">
        <v>2023</v>
      </c>
      <c r="H550" s="3" t="s">
        <v>60</v>
      </c>
      <c r="I550" s="5">
        <v>2022</v>
      </c>
      <c r="J550" s="12">
        <v>42.3</v>
      </c>
      <c r="K550" s="13">
        <v>85</v>
      </c>
    </row>
    <row r="551" spans="1:11" x14ac:dyDescent="0.25">
      <c r="A551" s="6" t="s">
        <v>601</v>
      </c>
      <c r="B551" s="6" t="s">
        <v>12</v>
      </c>
      <c r="C551" s="6" t="s">
        <v>13</v>
      </c>
      <c r="D551" s="6" t="s">
        <v>14</v>
      </c>
      <c r="E551" s="14">
        <v>15</v>
      </c>
      <c r="F551" s="8">
        <v>45199</v>
      </c>
      <c r="G551" s="9">
        <v>2023</v>
      </c>
      <c r="H551" s="7" t="s">
        <v>55</v>
      </c>
      <c r="I551" s="9">
        <v>2019</v>
      </c>
      <c r="J551" s="14">
        <v>65.099999999999994</v>
      </c>
      <c r="K551" s="15">
        <v>173</v>
      </c>
    </row>
    <row r="552" spans="1:11" x14ac:dyDescent="0.25">
      <c r="A552" s="2" t="s">
        <v>602</v>
      </c>
      <c r="B552" s="2" t="s">
        <v>42</v>
      </c>
      <c r="C552" s="2" t="s">
        <v>13</v>
      </c>
      <c r="D552" s="2" t="s">
        <v>35</v>
      </c>
      <c r="E552" s="12">
        <v>241.6</v>
      </c>
      <c r="F552" s="4">
        <v>45201</v>
      </c>
      <c r="G552" s="5">
        <v>2023</v>
      </c>
      <c r="H552" s="3" t="s">
        <v>43</v>
      </c>
      <c r="I552" s="5">
        <v>2013</v>
      </c>
      <c r="J552" s="12">
        <v>2432.5</v>
      </c>
      <c r="K552" s="13">
        <v>6119</v>
      </c>
    </row>
    <row r="553" spans="1:11" x14ac:dyDescent="0.25">
      <c r="A553" s="6" t="s">
        <v>603</v>
      </c>
      <c r="B553" s="6" t="s">
        <v>100</v>
      </c>
      <c r="C553" s="6" t="s">
        <v>34</v>
      </c>
      <c r="D553" s="6" t="s">
        <v>31</v>
      </c>
      <c r="E553" s="14">
        <v>2.2999999999999998</v>
      </c>
      <c r="F553" s="8">
        <v>45202</v>
      </c>
      <c r="G553" s="9">
        <v>2023</v>
      </c>
      <c r="H553" s="7" t="s">
        <v>45</v>
      </c>
      <c r="I553" s="9">
        <v>2014</v>
      </c>
      <c r="J553" s="14">
        <v>17.100000000000001</v>
      </c>
      <c r="K553" s="15">
        <v>36</v>
      </c>
    </row>
    <row r="554" spans="1:11" x14ac:dyDescent="0.25">
      <c r="A554" s="2" t="s">
        <v>604</v>
      </c>
      <c r="B554" s="2" t="s">
        <v>100</v>
      </c>
      <c r="C554" s="2" t="s">
        <v>13</v>
      </c>
      <c r="D554" s="2" t="s">
        <v>26</v>
      </c>
      <c r="E554" s="12">
        <v>26.1</v>
      </c>
      <c r="F554" s="4">
        <v>45205</v>
      </c>
      <c r="G554" s="5">
        <v>2023</v>
      </c>
      <c r="H554" s="3" t="s">
        <v>23</v>
      </c>
      <c r="I554" s="5">
        <v>2014</v>
      </c>
      <c r="J554" s="12">
        <v>193.3</v>
      </c>
      <c r="K554" s="13">
        <v>736</v>
      </c>
    </row>
    <row r="555" spans="1:11" x14ac:dyDescent="0.25">
      <c r="A555" s="6" t="s">
        <v>605</v>
      </c>
      <c r="B555" s="6" t="s">
        <v>29</v>
      </c>
      <c r="C555" s="6" t="s">
        <v>34</v>
      </c>
      <c r="D555" s="6" t="s">
        <v>31</v>
      </c>
      <c r="E555" s="14">
        <v>1.6</v>
      </c>
      <c r="F555" s="8">
        <v>45205</v>
      </c>
      <c r="G555" s="9">
        <v>2023</v>
      </c>
      <c r="H555" s="7" t="s">
        <v>15</v>
      </c>
      <c r="I555" s="9">
        <v>2020</v>
      </c>
      <c r="J555" s="14">
        <v>8.3000000000000007</v>
      </c>
      <c r="K555" s="15">
        <v>15</v>
      </c>
    </row>
    <row r="556" spans="1:11" x14ac:dyDescent="0.25">
      <c r="A556" s="2" t="s">
        <v>606</v>
      </c>
      <c r="B556" s="2" t="s">
        <v>29</v>
      </c>
      <c r="C556" s="2" t="s">
        <v>40</v>
      </c>
      <c r="D556" s="2" t="s">
        <v>35</v>
      </c>
      <c r="E556" s="12">
        <v>163.80000000000001</v>
      </c>
      <c r="F556" s="4">
        <v>45207</v>
      </c>
      <c r="G556" s="5">
        <v>2023</v>
      </c>
      <c r="H556" s="3" t="s">
        <v>15</v>
      </c>
      <c r="I556" s="5">
        <v>2014</v>
      </c>
      <c r="J556" s="12">
        <v>1289.5</v>
      </c>
      <c r="K556" s="13">
        <v>3568</v>
      </c>
    </row>
    <row r="557" spans="1:11" x14ac:dyDescent="0.25">
      <c r="A557" s="6" t="s">
        <v>607</v>
      </c>
      <c r="B557" s="6" t="s">
        <v>47</v>
      </c>
      <c r="C557" s="6" t="s">
        <v>18</v>
      </c>
      <c r="D557" s="6" t="s">
        <v>31</v>
      </c>
      <c r="E557" s="14">
        <v>2.2000000000000002</v>
      </c>
      <c r="F557" s="8">
        <v>45207</v>
      </c>
      <c r="G557" s="9">
        <v>2023</v>
      </c>
      <c r="H557" s="7" t="s">
        <v>15</v>
      </c>
      <c r="I557" s="9">
        <v>2015</v>
      </c>
      <c r="J557" s="14">
        <v>20.8</v>
      </c>
      <c r="K557" s="15">
        <v>80</v>
      </c>
    </row>
    <row r="558" spans="1:11" x14ac:dyDescent="0.25">
      <c r="A558" s="2" t="s">
        <v>608</v>
      </c>
      <c r="B558" s="2" t="s">
        <v>29</v>
      </c>
      <c r="C558" s="2" t="s">
        <v>13</v>
      </c>
      <c r="D558" s="2" t="s">
        <v>14</v>
      </c>
      <c r="E558" s="12">
        <v>7.1</v>
      </c>
      <c r="F558" s="4">
        <v>45208</v>
      </c>
      <c r="G558" s="5">
        <v>2023</v>
      </c>
      <c r="H558" s="3" t="s">
        <v>50</v>
      </c>
      <c r="I558" s="5">
        <v>2013</v>
      </c>
      <c r="J558" s="12">
        <v>33.4</v>
      </c>
      <c r="K558" s="13">
        <v>51</v>
      </c>
    </row>
    <row r="559" spans="1:11" x14ac:dyDescent="0.25">
      <c r="A559" s="6" t="s">
        <v>609</v>
      </c>
      <c r="B559" s="6" t="s">
        <v>42</v>
      </c>
      <c r="C559" s="6" t="s">
        <v>18</v>
      </c>
      <c r="D559" s="6" t="s">
        <v>26</v>
      </c>
      <c r="E559" s="14">
        <v>40.1</v>
      </c>
      <c r="F559" s="8">
        <v>45213</v>
      </c>
      <c r="G559" s="9">
        <v>2023</v>
      </c>
      <c r="H559" s="7" t="s">
        <v>58</v>
      </c>
      <c r="I559" s="9">
        <v>2016</v>
      </c>
      <c r="J559" s="14">
        <v>141.19999999999999</v>
      </c>
      <c r="K559" s="15">
        <v>384</v>
      </c>
    </row>
    <row r="560" spans="1:11" x14ac:dyDescent="0.25">
      <c r="A560" s="2" t="s">
        <v>610</v>
      </c>
      <c r="B560" s="2" t="s">
        <v>76</v>
      </c>
      <c r="C560" s="2" t="s">
        <v>18</v>
      </c>
      <c r="D560" s="2" t="s">
        <v>31</v>
      </c>
      <c r="E560" s="12">
        <v>0.9</v>
      </c>
      <c r="F560" s="4">
        <v>45215</v>
      </c>
      <c r="G560" s="5">
        <v>2023</v>
      </c>
      <c r="H560" s="3" t="s">
        <v>60</v>
      </c>
      <c r="I560" s="5">
        <v>2018</v>
      </c>
      <c r="J560" s="12">
        <v>4.7</v>
      </c>
      <c r="K560" s="13">
        <v>16</v>
      </c>
    </row>
    <row r="561" spans="1:11" x14ac:dyDescent="0.25">
      <c r="A561" s="6" t="s">
        <v>611</v>
      </c>
      <c r="B561" s="6" t="s">
        <v>42</v>
      </c>
      <c r="C561" s="6" t="s">
        <v>48</v>
      </c>
      <c r="D561" s="6" t="s">
        <v>31</v>
      </c>
      <c r="E561" s="14">
        <v>0.5</v>
      </c>
      <c r="F561" s="8">
        <v>45217</v>
      </c>
      <c r="G561" s="9">
        <v>2023</v>
      </c>
      <c r="H561" s="7" t="s">
        <v>23</v>
      </c>
      <c r="I561" s="9">
        <v>2021</v>
      </c>
      <c r="J561" s="14">
        <v>3.5</v>
      </c>
      <c r="K561" s="15">
        <v>8</v>
      </c>
    </row>
    <row r="562" spans="1:11" x14ac:dyDescent="0.25">
      <c r="A562" s="2" t="s">
        <v>612</v>
      </c>
      <c r="B562" s="2" t="s">
        <v>33</v>
      </c>
      <c r="C562" s="2" t="s">
        <v>18</v>
      </c>
      <c r="D562" s="2" t="s">
        <v>14</v>
      </c>
      <c r="E562" s="12">
        <v>4.8</v>
      </c>
      <c r="F562" s="4">
        <v>45220</v>
      </c>
      <c r="G562" s="5">
        <v>2023</v>
      </c>
      <c r="H562" s="3" t="s">
        <v>23</v>
      </c>
      <c r="I562" s="5">
        <v>2013</v>
      </c>
      <c r="J562" s="12">
        <v>21.4</v>
      </c>
      <c r="K562" s="13">
        <v>48</v>
      </c>
    </row>
    <row r="563" spans="1:11" x14ac:dyDescent="0.25">
      <c r="A563" s="6" t="s">
        <v>613</v>
      </c>
      <c r="B563" s="6" t="s">
        <v>104</v>
      </c>
      <c r="C563" s="6" t="s">
        <v>18</v>
      </c>
      <c r="D563" s="6" t="s">
        <v>31</v>
      </c>
      <c r="E563" s="14">
        <v>2.5</v>
      </c>
      <c r="F563" s="8">
        <v>45224</v>
      </c>
      <c r="G563" s="9">
        <v>2023</v>
      </c>
      <c r="H563" s="7" t="s">
        <v>65</v>
      </c>
      <c r="I563" s="9">
        <v>2017</v>
      </c>
      <c r="J563" s="14">
        <v>16.899999999999999</v>
      </c>
      <c r="K563" s="15">
        <v>27</v>
      </c>
    </row>
    <row r="564" spans="1:11" x14ac:dyDescent="0.25">
      <c r="A564" s="2" t="s">
        <v>614</v>
      </c>
      <c r="B564" s="2" t="s">
        <v>22</v>
      </c>
      <c r="C564" s="2" t="s">
        <v>18</v>
      </c>
      <c r="D564" s="2" t="s">
        <v>31</v>
      </c>
      <c r="E564" s="12">
        <v>3.4</v>
      </c>
      <c r="F564" s="4">
        <v>45229</v>
      </c>
      <c r="G564" s="5">
        <v>2023</v>
      </c>
      <c r="H564" s="3" t="s">
        <v>60</v>
      </c>
      <c r="I564" s="5">
        <v>2023</v>
      </c>
      <c r="J564" s="12">
        <v>16.2</v>
      </c>
      <c r="K564" s="13">
        <v>25</v>
      </c>
    </row>
    <row r="565" spans="1:11" x14ac:dyDescent="0.25">
      <c r="A565" s="6" t="s">
        <v>615</v>
      </c>
      <c r="B565" s="6" t="s">
        <v>17</v>
      </c>
      <c r="C565" s="6" t="s">
        <v>34</v>
      </c>
      <c r="D565" s="6" t="s">
        <v>14</v>
      </c>
      <c r="E565" s="14">
        <v>14.7</v>
      </c>
      <c r="F565" s="8">
        <v>45230</v>
      </c>
      <c r="G565" s="9">
        <v>2023</v>
      </c>
      <c r="H565" s="7" t="s">
        <v>58</v>
      </c>
      <c r="I565" s="9">
        <v>2013</v>
      </c>
      <c r="J565" s="14">
        <v>78.8</v>
      </c>
      <c r="K565" s="15">
        <v>218</v>
      </c>
    </row>
    <row r="566" spans="1:11" x14ac:dyDescent="0.25">
      <c r="A566" s="2" t="s">
        <v>616</v>
      </c>
      <c r="B566" s="2" t="s">
        <v>17</v>
      </c>
      <c r="C566" s="2" t="s">
        <v>18</v>
      </c>
      <c r="D566" s="2" t="s">
        <v>31</v>
      </c>
      <c r="E566" s="12">
        <v>1.3</v>
      </c>
      <c r="F566" s="4">
        <v>45236</v>
      </c>
      <c r="G566" s="5">
        <v>2023</v>
      </c>
      <c r="H566" s="3" t="s">
        <v>53</v>
      </c>
      <c r="I566" s="5">
        <v>2018</v>
      </c>
      <c r="J566" s="12">
        <v>9.1</v>
      </c>
      <c r="K566" s="13">
        <v>34</v>
      </c>
    </row>
    <row r="567" spans="1:11" x14ac:dyDescent="0.25">
      <c r="A567" s="6" t="s">
        <v>617</v>
      </c>
      <c r="B567" s="6" t="s">
        <v>29</v>
      </c>
      <c r="C567" s="6" t="s">
        <v>18</v>
      </c>
      <c r="D567" s="6" t="s">
        <v>31</v>
      </c>
      <c r="E567" s="14">
        <v>3.2</v>
      </c>
      <c r="F567" s="8">
        <v>45236</v>
      </c>
      <c r="G567" s="9">
        <v>2023</v>
      </c>
      <c r="H567" s="7" t="s">
        <v>123</v>
      </c>
      <c r="I567" s="9">
        <v>2020</v>
      </c>
      <c r="J567" s="14">
        <v>23.8</v>
      </c>
      <c r="K567" s="15">
        <v>42</v>
      </c>
    </row>
    <row r="568" spans="1:11" x14ac:dyDescent="0.25">
      <c r="A568" s="2" t="s">
        <v>618</v>
      </c>
      <c r="B568" s="2" t="s">
        <v>33</v>
      </c>
      <c r="C568" s="2" t="s">
        <v>25</v>
      </c>
      <c r="D568" s="2" t="s">
        <v>14</v>
      </c>
      <c r="E568" s="12">
        <v>11</v>
      </c>
      <c r="F568" s="4">
        <v>45237</v>
      </c>
      <c r="G568" s="5">
        <v>2023</v>
      </c>
      <c r="H568" s="3" t="s">
        <v>55</v>
      </c>
      <c r="I568" s="5">
        <v>2021</v>
      </c>
      <c r="J568" s="12">
        <v>53.3</v>
      </c>
      <c r="K568" s="13">
        <v>153</v>
      </c>
    </row>
    <row r="569" spans="1:11" x14ac:dyDescent="0.25">
      <c r="A569" s="6" t="s">
        <v>619</v>
      </c>
      <c r="B569" s="6" t="s">
        <v>33</v>
      </c>
      <c r="C569" s="6" t="s">
        <v>71</v>
      </c>
      <c r="D569" s="6" t="s">
        <v>26</v>
      </c>
      <c r="E569" s="14">
        <v>30.8</v>
      </c>
      <c r="F569" s="8">
        <v>45242</v>
      </c>
      <c r="G569" s="9">
        <v>2023</v>
      </c>
      <c r="H569" s="7" t="s">
        <v>50</v>
      </c>
      <c r="I569" s="9">
        <v>2015</v>
      </c>
      <c r="J569" s="14">
        <v>222.3</v>
      </c>
      <c r="K569" s="15">
        <v>450</v>
      </c>
    </row>
    <row r="570" spans="1:11" x14ac:dyDescent="0.25">
      <c r="A570" s="2" t="s">
        <v>620</v>
      </c>
      <c r="B570" s="2" t="s">
        <v>76</v>
      </c>
      <c r="C570" s="2" t="s">
        <v>34</v>
      </c>
      <c r="D570" s="2" t="s">
        <v>26</v>
      </c>
      <c r="E570" s="12">
        <v>44</v>
      </c>
      <c r="F570" s="4">
        <v>45242</v>
      </c>
      <c r="G570" s="5">
        <v>2023</v>
      </c>
      <c r="H570" s="3" t="s">
        <v>60</v>
      </c>
      <c r="I570" s="5">
        <v>2015</v>
      </c>
      <c r="J570" s="12">
        <v>314.89999999999998</v>
      </c>
      <c r="K570" s="13">
        <v>918</v>
      </c>
    </row>
    <row r="571" spans="1:11" x14ac:dyDescent="0.25">
      <c r="A571" s="6" t="s">
        <v>621</v>
      </c>
      <c r="B571" s="6" t="s">
        <v>67</v>
      </c>
      <c r="C571" s="6" t="s">
        <v>18</v>
      </c>
      <c r="D571" s="6" t="s">
        <v>14</v>
      </c>
      <c r="E571" s="14">
        <v>8.4</v>
      </c>
      <c r="F571" s="8">
        <v>45250</v>
      </c>
      <c r="G571" s="9">
        <v>2023</v>
      </c>
      <c r="H571" s="7" t="s">
        <v>27</v>
      </c>
      <c r="I571" s="9">
        <v>2021</v>
      </c>
      <c r="J571" s="14">
        <v>59.8</v>
      </c>
      <c r="K571" s="15">
        <v>226</v>
      </c>
    </row>
    <row r="572" spans="1:11" x14ac:dyDescent="0.25">
      <c r="A572" s="2" t="s">
        <v>622</v>
      </c>
      <c r="B572" s="2" t="s">
        <v>33</v>
      </c>
      <c r="C572" s="2" t="s">
        <v>34</v>
      </c>
      <c r="D572" s="2" t="s">
        <v>26</v>
      </c>
      <c r="E572" s="12">
        <v>19.5</v>
      </c>
      <c r="F572" s="4">
        <v>45252</v>
      </c>
      <c r="G572" s="5">
        <v>2023</v>
      </c>
      <c r="H572" s="3" t="s">
        <v>43</v>
      </c>
      <c r="I572" s="5">
        <v>2020</v>
      </c>
      <c r="J572" s="12">
        <v>95.9</v>
      </c>
      <c r="K572" s="13">
        <v>329</v>
      </c>
    </row>
    <row r="573" spans="1:11" x14ac:dyDescent="0.25">
      <c r="A573" s="6" t="s">
        <v>623</v>
      </c>
      <c r="B573" s="6" t="s">
        <v>17</v>
      </c>
      <c r="C573" s="6" t="s">
        <v>48</v>
      </c>
      <c r="D573" s="6" t="s">
        <v>31</v>
      </c>
      <c r="E573" s="14">
        <v>2.4</v>
      </c>
      <c r="F573" s="8">
        <v>45256</v>
      </c>
      <c r="G573" s="9">
        <v>2023</v>
      </c>
      <c r="H573" s="7" t="s">
        <v>45</v>
      </c>
      <c r="I573" s="9">
        <v>2020</v>
      </c>
      <c r="J573" s="14">
        <v>20.8</v>
      </c>
      <c r="K573" s="15">
        <v>69</v>
      </c>
    </row>
    <row r="574" spans="1:11" x14ac:dyDescent="0.25">
      <c r="A574" s="2" t="s">
        <v>624</v>
      </c>
      <c r="B574" s="2" t="s">
        <v>76</v>
      </c>
      <c r="C574" s="2" t="s">
        <v>13</v>
      </c>
      <c r="D574" s="2" t="s">
        <v>26</v>
      </c>
      <c r="E574" s="12">
        <v>26.8</v>
      </c>
      <c r="F574" s="4">
        <v>45259</v>
      </c>
      <c r="G574" s="5">
        <v>2023</v>
      </c>
      <c r="H574" s="3" t="s">
        <v>123</v>
      </c>
      <c r="I574" s="5">
        <v>2014</v>
      </c>
      <c r="J574" s="12">
        <v>94.2</v>
      </c>
      <c r="K574" s="13">
        <v>162</v>
      </c>
    </row>
    <row r="575" spans="1:11" x14ac:dyDescent="0.25">
      <c r="A575" s="6" t="s">
        <v>625</v>
      </c>
      <c r="B575" s="6" t="s">
        <v>104</v>
      </c>
      <c r="C575" s="6" t="s">
        <v>18</v>
      </c>
      <c r="D575" s="6" t="s">
        <v>31</v>
      </c>
      <c r="E575" s="14">
        <v>2.7</v>
      </c>
      <c r="F575" s="8">
        <v>45262</v>
      </c>
      <c r="G575" s="9">
        <v>2023</v>
      </c>
      <c r="H575" s="7" t="s">
        <v>65</v>
      </c>
      <c r="I575" s="9">
        <v>2021</v>
      </c>
      <c r="J575" s="14">
        <v>21</v>
      </c>
      <c r="K575" s="15">
        <v>44</v>
      </c>
    </row>
    <row r="576" spans="1:11" x14ac:dyDescent="0.25">
      <c r="A576" s="2" t="s">
        <v>626</v>
      </c>
      <c r="B576" s="2" t="s">
        <v>22</v>
      </c>
      <c r="C576" s="2" t="s">
        <v>18</v>
      </c>
      <c r="D576" s="2" t="s">
        <v>19</v>
      </c>
      <c r="E576" s="12">
        <v>56.7</v>
      </c>
      <c r="F576" s="4">
        <v>45262</v>
      </c>
      <c r="G576" s="5">
        <v>2023</v>
      </c>
      <c r="H576" s="3" t="s">
        <v>15</v>
      </c>
      <c r="I576" s="5">
        <v>2015</v>
      </c>
      <c r="J576" s="12">
        <v>516.20000000000005</v>
      </c>
      <c r="K576" s="13">
        <v>987</v>
      </c>
    </row>
    <row r="577" spans="1:11" x14ac:dyDescent="0.25">
      <c r="A577" s="6" t="s">
        <v>627</v>
      </c>
      <c r="B577" s="6" t="s">
        <v>17</v>
      </c>
      <c r="C577" s="6" t="s">
        <v>13</v>
      </c>
      <c r="D577" s="6" t="s">
        <v>26</v>
      </c>
      <c r="E577" s="14">
        <v>48.1</v>
      </c>
      <c r="F577" s="8">
        <v>45265</v>
      </c>
      <c r="G577" s="9">
        <v>2023</v>
      </c>
      <c r="H577" s="7" t="s">
        <v>60</v>
      </c>
      <c r="I577" s="9">
        <v>2016</v>
      </c>
      <c r="J577" s="14">
        <v>259.5</v>
      </c>
      <c r="K577" s="15">
        <v>592</v>
      </c>
    </row>
    <row r="578" spans="1:11" x14ac:dyDescent="0.25">
      <c r="A578" s="2" t="s">
        <v>628</v>
      </c>
      <c r="B578" s="2" t="s">
        <v>100</v>
      </c>
      <c r="C578" s="2" t="s">
        <v>34</v>
      </c>
      <c r="D578" s="2" t="s">
        <v>14</v>
      </c>
      <c r="E578" s="12">
        <v>8.3000000000000007</v>
      </c>
      <c r="F578" s="4">
        <v>45268</v>
      </c>
      <c r="G578" s="5">
        <v>2023</v>
      </c>
      <c r="H578" s="3" t="s">
        <v>23</v>
      </c>
      <c r="I578" s="5">
        <v>2014</v>
      </c>
      <c r="J578" s="12">
        <v>51.8</v>
      </c>
      <c r="K578" s="13">
        <v>178</v>
      </c>
    </row>
    <row r="579" spans="1:11" x14ac:dyDescent="0.25">
      <c r="A579" s="6" t="s">
        <v>629</v>
      </c>
      <c r="B579" s="6" t="s">
        <v>100</v>
      </c>
      <c r="C579" s="6" t="s">
        <v>18</v>
      </c>
      <c r="D579" s="6" t="s">
        <v>31</v>
      </c>
      <c r="E579" s="14">
        <v>2.2999999999999998</v>
      </c>
      <c r="F579" s="8">
        <v>45268</v>
      </c>
      <c r="G579" s="9">
        <v>2023</v>
      </c>
      <c r="H579" s="7" t="s">
        <v>55</v>
      </c>
      <c r="I579" s="9">
        <v>2021</v>
      </c>
      <c r="J579" s="14">
        <v>20.8</v>
      </c>
      <c r="K579" s="15">
        <v>61</v>
      </c>
    </row>
    <row r="580" spans="1:11" x14ac:dyDescent="0.25">
      <c r="A580" s="2" t="s">
        <v>630</v>
      </c>
      <c r="B580" s="2" t="s">
        <v>33</v>
      </c>
      <c r="C580" s="2" t="s">
        <v>18</v>
      </c>
      <c r="D580" s="2" t="s">
        <v>14</v>
      </c>
      <c r="E580" s="12">
        <v>18.8</v>
      </c>
      <c r="F580" s="4">
        <v>45270</v>
      </c>
      <c r="G580" s="5">
        <v>2023</v>
      </c>
      <c r="H580" s="3" t="s">
        <v>58</v>
      </c>
      <c r="I580" s="5">
        <v>2013</v>
      </c>
      <c r="J580" s="12">
        <v>117.3</v>
      </c>
      <c r="K580" s="13">
        <v>272</v>
      </c>
    </row>
    <row r="581" spans="1:11" x14ac:dyDescent="0.25">
      <c r="A581" s="6" t="s">
        <v>631</v>
      </c>
      <c r="B581" s="6" t="s">
        <v>33</v>
      </c>
      <c r="C581" s="6" t="s">
        <v>63</v>
      </c>
      <c r="D581" s="6" t="s">
        <v>35</v>
      </c>
      <c r="E581" s="14">
        <v>309.5</v>
      </c>
      <c r="F581" s="8">
        <v>45273</v>
      </c>
      <c r="G581" s="9">
        <v>2023</v>
      </c>
      <c r="H581" s="7" t="s">
        <v>45</v>
      </c>
      <c r="I581" s="9">
        <v>2022</v>
      </c>
      <c r="J581" s="14">
        <v>1722.1</v>
      </c>
      <c r="K581" s="15">
        <v>3977</v>
      </c>
    </row>
    <row r="582" spans="1:11" x14ac:dyDescent="0.25">
      <c r="A582" s="2" t="s">
        <v>632</v>
      </c>
      <c r="B582" s="2" t="s">
        <v>33</v>
      </c>
      <c r="C582" s="2" t="s">
        <v>18</v>
      </c>
      <c r="D582" s="2" t="s">
        <v>26</v>
      </c>
      <c r="E582" s="12">
        <v>19</v>
      </c>
      <c r="F582" s="4">
        <v>45280</v>
      </c>
      <c r="G582" s="5">
        <v>2023</v>
      </c>
      <c r="H582" s="3" t="s">
        <v>27</v>
      </c>
      <c r="I582" s="5">
        <v>2021</v>
      </c>
      <c r="J582" s="12">
        <v>140.19999999999999</v>
      </c>
      <c r="K582" s="13">
        <v>519</v>
      </c>
    </row>
    <row r="583" spans="1:11" x14ac:dyDescent="0.25">
      <c r="A583" s="6" t="s">
        <v>633</v>
      </c>
      <c r="B583" s="6" t="s">
        <v>33</v>
      </c>
      <c r="C583" s="6" t="s">
        <v>18</v>
      </c>
      <c r="D583" s="6" t="s">
        <v>14</v>
      </c>
      <c r="E583" s="14">
        <v>16.5</v>
      </c>
      <c r="F583" s="8">
        <v>45281</v>
      </c>
      <c r="G583" s="9">
        <v>2023</v>
      </c>
      <c r="H583" s="7" t="s">
        <v>55</v>
      </c>
      <c r="I583" s="9">
        <v>2019</v>
      </c>
      <c r="J583" s="14">
        <v>119.8</v>
      </c>
      <c r="K583" s="15">
        <v>420</v>
      </c>
    </row>
    <row r="584" spans="1:11" x14ac:dyDescent="0.25">
      <c r="A584" s="2" t="s">
        <v>634</v>
      </c>
      <c r="B584" s="2" t="s">
        <v>17</v>
      </c>
      <c r="C584" s="2" t="s">
        <v>18</v>
      </c>
      <c r="D584" s="2" t="s">
        <v>26</v>
      </c>
      <c r="E584" s="12">
        <v>44.7</v>
      </c>
      <c r="F584" s="4">
        <v>45285</v>
      </c>
      <c r="G584" s="5">
        <v>2023</v>
      </c>
      <c r="H584" s="3" t="s">
        <v>43</v>
      </c>
      <c r="I584" s="5">
        <v>2018</v>
      </c>
      <c r="J584" s="12">
        <v>179.9</v>
      </c>
      <c r="K584" s="13">
        <v>353</v>
      </c>
    </row>
    <row r="585" spans="1:11" x14ac:dyDescent="0.25">
      <c r="A585" s="6" t="s">
        <v>635</v>
      </c>
      <c r="B585" s="6" t="s">
        <v>39</v>
      </c>
      <c r="C585" s="6" t="s">
        <v>18</v>
      </c>
      <c r="D585" s="6" t="s">
        <v>14</v>
      </c>
      <c r="E585" s="14">
        <v>7.3</v>
      </c>
      <c r="F585" s="8">
        <v>45286</v>
      </c>
      <c r="G585" s="9">
        <v>2023</v>
      </c>
      <c r="H585" s="7" t="s">
        <v>15</v>
      </c>
      <c r="I585" s="9">
        <v>2022</v>
      </c>
      <c r="J585" s="14">
        <v>55.6</v>
      </c>
      <c r="K585" s="15">
        <v>125</v>
      </c>
    </row>
    <row r="586" spans="1:11" x14ac:dyDescent="0.25">
      <c r="A586" s="2" t="s">
        <v>636</v>
      </c>
      <c r="B586" s="2" t="s">
        <v>33</v>
      </c>
      <c r="C586" s="2" t="s">
        <v>63</v>
      </c>
      <c r="D586" s="2" t="s">
        <v>31</v>
      </c>
      <c r="E586" s="12">
        <v>1.4</v>
      </c>
      <c r="F586" s="4">
        <v>45288</v>
      </c>
      <c r="G586" s="5">
        <v>2023</v>
      </c>
      <c r="H586" s="3" t="s">
        <v>55</v>
      </c>
      <c r="I586" s="5">
        <v>2019</v>
      </c>
      <c r="J586" s="12">
        <v>8.5</v>
      </c>
      <c r="K586" s="13">
        <v>28</v>
      </c>
    </row>
    <row r="587" spans="1:11" x14ac:dyDescent="0.25">
      <c r="A587" s="6" t="s">
        <v>637</v>
      </c>
      <c r="B587" s="6" t="s">
        <v>76</v>
      </c>
      <c r="C587" s="6" t="s">
        <v>18</v>
      </c>
      <c r="D587" s="6" t="s">
        <v>26</v>
      </c>
      <c r="E587" s="14">
        <v>31.6</v>
      </c>
      <c r="F587" s="8">
        <v>45291</v>
      </c>
      <c r="G587" s="9">
        <v>2023</v>
      </c>
      <c r="H587" s="7" t="s">
        <v>45</v>
      </c>
      <c r="I587" s="9">
        <v>2016</v>
      </c>
      <c r="J587" s="14">
        <v>212.5</v>
      </c>
      <c r="K587" s="15">
        <v>789</v>
      </c>
    </row>
    <row r="588" spans="1:11" x14ac:dyDescent="0.25">
      <c r="A588" s="2" t="s">
        <v>638</v>
      </c>
      <c r="B588" s="2" t="s">
        <v>12</v>
      </c>
      <c r="C588" s="2" t="s">
        <v>13</v>
      </c>
      <c r="D588" s="2" t="s">
        <v>31</v>
      </c>
      <c r="E588" s="12">
        <v>4</v>
      </c>
      <c r="F588" s="4">
        <v>45302</v>
      </c>
      <c r="G588" s="5">
        <v>2024</v>
      </c>
      <c r="H588" s="3" t="s">
        <v>60</v>
      </c>
      <c r="I588" s="5">
        <v>2020</v>
      </c>
      <c r="J588" s="12">
        <v>37.700000000000003</v>
      </c>
      <c r="K588" s="13">
        <v>134</v>
      </c>
    </row>
    <row r="589" spans="1:11" x14ac:dyDescent="0.25">
      <c r="A589" s="6" t="s">
        <v>639</v>
      </c>
      <c r="B589" s="6" t="s">
        <v>33</v>
      </c>
      <c r="C589" s="6" t="s">
        <v>13</v>
      </c>
      <c r="D589" s="6" t="s">
        <v>35</v>
      </c>
      <c r="E589" s="14">
        <v>403.8</v>
      </c>
      <c r="F589" s="8">
        <v>45304</v>
      </c>
      <c r="G589" s="9">
        <v>2024</v>
      </c>
      <c r="H589" s="7" t="s">
        <v>123</v>
      </c>
      <c r="I589" s="9">
        <v>2015</v>
      </c>
      <c r="J589" s="14">
        <v>3970.8</v>
      </c>
      <c r="K589" s="15">
        <v>8177</v>
      </c>
    </row>
    <row r="590" spans="1:11" x14ac:dyDescent="0.25">
      <c r="A590" s="2" t="s">
        <v>640</v>
      </c>
      <c r="B590" s="2" t="s">
        <v>12</v>
      </c>
      <c r="C590" s="2" t="s">
        <v>13</v>
      </c>
      <c r="D590" s="2" t="s">
        <v>19</v>
      </c>
      <c r="E590" s="12">
        <v>72.3</v>
      </c>
      <c r="F590" s="4">
        <v>45311</v>
      </c>
      <c r="G590" s="5">
        <v>2024</v>
      </c>
      <c r="H590" s="3" t="s">
        <v>107</v>
      </c>
      <c r="I590" s="5">
        <v>2014</v>
      </c>
      <c r="J590" s="12">
        <v>523.4</v>
      </c>
      <c r="K590" s="13">
        <v>1838</v>
      </c>
    </row>
    <row r="591" spans="1:11" x14ac:dyDescent="0.25">
      <c r="A591" s="6" t="s">
        <v>641</v>
      </c>
      <c r="B591" s="6" t="s">
        <v>67</v>
      </c>
      <c r="C591" s="6" t="s">
        <v>18</v>
      </c>
      <c r="D591" s="6" t="s">
        <v>14</v>
      </c>
      <c r="E591" s="14">
        <v>8.1</v>
      </c>
      <c r="F591" s="8">
        <v>45314</v>
      </c>
      <c r="G591" s="9">
        <v>2024</v>
      </c>
      <c r="H591" s="7" t="s">
        <v>60</v>
      </c>
      <c r="I591" s="9">
        <v>2016</v>
      </c>
      <c r="J591" s="14">
        <v>53.4</v>
      </c>
      <c r="K591" s="15">
        <v>123</v>
      </c>
    </row>
    <row r="592" spans="1:11" x14ac:dyDescent="0.25">
      <c r="A592" s="2" t="s">
        <v>642</v>
      </c>
      <c r="B592" s="2" t="s">
        <v>76</v>
      </c>
      <c r="C592" s="2" t="s">
        <v>25</v>
      </c>
      <c r="D592" s="2" t="s">
        <v>14</v>
      </c>
      <c r="E592" s="12">
        <v>12</v>
      </c>
      <c r="F592" s="4">
        <v>45317</v>
      </c>
      <c r="G592" s="5">
        <v>2024</v>
      </c>
      <c r="H592" s="3" t="s">
        <v>53</v>
      </c>
      <c r="I592" s="5">
        <v>2017</v>
      </c>
      <c r="J592" s="12">
        <v>80.3</v>
      </c>
      <c r="K592" s="13">
        <v>211</v>
      </c>
    </row>
    <row r="593" spans="1:11" x14ac:dyDescent="0.25">
      <c r="A593" s="6" t="s">
        <v>643</v>
      </c>
      <c r="B593" s="6" t="s">
        <v>33</v>
      </c>
      <c r="C593" s="6" t="s">
        <v>71</v>
      </c>
      <c r="D593" s="6" t="s">
        <v>14</v>
      </c>
      <c r="E593" s="14">
        <v>18.5</v>
      </c>
      <c r="F593" s="8">
        <v>45320</v>
      </c>
      <c r="G593" s="9">
        <v>2024</v>
      </c>
      <c r="H593" s="7" t="s">
        <v>65</v>
      </c>
      <c r="I593" s="9">
        <v>2020</v>
      </c>
      <c r="J593" s="14">
        <v>69.3</v>
      </c>
      <c r="K593" s="15">
        <v>224</v>
      </c>
    </row>
    <row r="594" spans="1:11" x14ac:dyDescent="0.25">
      <c r="A594" s="2" t="s">
        <v>644</v>
      </c>
      <c r="B594" s="2" t="s">
        <v>47</v>
      </c>
      <c r="C594" s="2" t="s">
        <v>13</v>
      </c>
      <c r="D594" s="2" t="s">
        <v>14</v>
      </c>
      <c r="E594" s="12">
        <v>8.4</v>
      </c>
      <c r="F594" s="4">
        <v>45321</v>
      </c>
      <c r="G594" s="5">
        <v>2024</v>
      </c>
      <c r="H594" s="3" t="s">
        <v>123</v>
      </c>
      <c r="I594" s="5">
        <v>2020</v>
      </c>
      <c r="J594" s="12">
        <v>64.099999999999994</v>
      </c>
      <c r="K594" s="13">
        <v>112</v>
      </c>
    </row>
    <row r="595" spans="1:11" x14ac:dyDescent="0.25">
      <c r="A595" s="6" t="s">
        <v>645</v>
      </c>
      <c r="B595" s="6" t="s">
        <v>17</v>
      </c>
      <c r="C595" s="6" t="s">
        <v>63</v>
      </c>
      <c r="D595" s="6" t="s">
        <v>26</v>
      </c>
      <c r="E595" s="14">
        <v>38.299999999999997</v>
      </c>
      <c r="F595" s="8">
        <v>45322</v>
      </c>
      <c r="G595" s="9">
        <v>2024</v>
      </c>
      <c r="H595" s="7" t="s">
        <v>50</v>
      </c>
      <c r="I595" s="9">
        <v>2020</v>
      </c>
      <c r="J595" s="14">
        <v>182</v>
      </c>
      <c r="K595" s="15">
        <v>511</v>
      </c>
    </row>
    <row r="596" spans="1:11" x14ac:dyDescent="0.25">
      <c r="A596" s="2" t="s">
        <v>646</v>
      </c>
      <c r="B596" s="2" t="s">
        <v>42</v>
      </c>
      <c r="C596" s="2" t="s">
        <v>18</v>
      </c>
      <c r="D596" s="2" t="s">
        <v>26</v>
      </c>
      <c r="E596" s="12">
        <v>28.1</v>
      </c>
      <c r="F596" s="4">
        <v>45324</v>
      </c>
      <c r="G596" s="5">
        <v>2024</v>
      </c>
      <c r="H596" s="3" t="s">
        <v>50</v>
      </c>
      <c r="I596" s="5">
        <v>2020</v>
      </c>
      <c r="J596" s="12">
        <v>144.1</v>
      </c>
      <c r="K596" s="13">
        <v>522</v>
      </c>
    </row>
    <row r="597" spans="1:11" x14ac:dyDescent="0.25">
      <c r="A597" s="6" t="s">
        <v>647</v>
      </c>
      <c r="B597" s="6" t="s">
        <v>12</v>
      </c>
      <c r="C597" s="6" t="s">
        <v>18</v>
      </c>
      <c r="D597" s="6" t="s">
        <v>19</v>
      </c>
      <c r="E597" s="14">
        <v>56.6</v>
      </c>
      <c r="F597" s="8">
        <v>45326</v>
      </c>
      <c r="G597" s="9">
        <v>2024</v>
      </c>
      <c r="H597" s="7" t="s">
        <v>53</v>
      </c>
      <c r="I597" s="9">
        <v>2019</v>
      </c>
      <c r="J597" s="14">
        <v>409.5</v>
      </c>
      <c r="K597" s="15">
        <v>1342</v>
      </c>
    </row>
    <row r="598" spans="1:11" x14ac:dyDescent="0.25">
      <c r="A598" s="2" t="s">
        <v>648</v>
      </c>
      <c r="B598" s="2" t="s">
        <v>33</v>
      </c>
      <c r="C598" s="2" t="s">
        <v>18</v>
      </c>
      <c r="D598" s="2" t="s">
        <v>14</v>
      </c>
      <c r="E598" s="12">
        <v>6.2</v>
      </c>
      <c r="F598" s="4">
        <v>45328</v>
      </c>
      <c r="G598" s="5">
        <v>2024</v>
      </c>
      <c r="H598" s="3" t="s">
        <v>107</v>
      </c>
      <c r="I598" s="5">
        <v>2018</v>
      </c>
      <c r="J598" s="12">
        <v>47.8</v>
      </c>
      <c r="K598" s="13">
        <v>124</v>
      </c>
    </row>
    <row r="599" spans="1:11" x14ac:dyDescent="0.25">
      <c r="A599" s="6" t="s">
        <v>649</v>
      </c>
      <c r="B599" s="6" t="s">
        <v>42</v>
      </c>
      <c r="C599" s="6" t="s">
        <v>48</v>
      </c>
      <c r="D599" s="6" t="s">
        <v>26</v>
      </c>
      <c r="E599" s="14">
        <v>16.899999999999999</v>
      </c>
      <c r="F599" s="8">
        <v>45329</v>
      </c>
      <c r="G599" s="9">
        <v>2024</v>
      </c>
      <c r="H599" s="7" t="s">
        <v>37</v>
      </c>
      <c r="I599" s="9">
        <v>2022</v>
      </c>
      <c r="J599" s="14">
        <v>125.7</v>
      </c>
      <c r="K599" s="15">
        <v>373</v>
      </c>
    </row>
    <row r="600" spans="1:11" x14ac:dyDescent="0.25">
      <c r="A600" s="2" t="s">
        <v>650</v>
      </c>
      <c r="B600" s="2" t="s">
        <v>47</v>
      </c>
      <c r="C600" s="2" t="s">
        <v>18</v>
      </c>
      <c r="D600" s="2" t="s">
        <v>31</v>
      </c>
      <c r="E600" s="12">
        <v>2.2999999999999998</v>
      </c>
      <c r="F600" s="4">
        <v>45329</v>
      </c>
      <c r="G600" s="5">
        <v>2024</v>
      </c>
      <c r="H600" s="3" t="s">
        <v>50</v>
      </c>
      <c r="I600" s="5">
        <v>2016</v>
      </c>
      <c r="J600" s="12">
        <v>19.2</v>
      </c>
      <c r="K600" s="13">
        <v>61</v>
      </c>
    </row>
    <row r="601" spans="1:11" x14ac:dyDescent="0.25">
      <c r="A601" s="6" t="s">
        <v>651</v>
      </c>
      <c r="B601" s="6" t="s">
        <v>76</v>
      </c>
      <c r="C601" s="6" t="s">
        <v>34</v>
      </c>
      <c r="D601" s="6" t="s">
        <v>31</v>
      </c>
      <c r="E601" s="14">
        <v>4.5999999999999996</v>
      </c>
      <c r="F601" s="8">
        <v>45332</v>
      </c>
      <c r="G601" s="9">
        <v>2024</v>
      </c>
      <c r="H601" s="7" t="s">
        <v>53</v>
      </c>
      <c r="I601" s="9">
        <v>2017</v>
      </c>
      <c r="J601" s="14">
        <v>31</v>
      </c>
      <c r="K601" s="15">
        <v>82</v>
      </c>
    </row>
    <row r="602" spans="1:11" x14ac:dyDescent="0.25">
      <c r="A602" s="2" t="s">
        <v>652</v>
      </c>
      <c r="B602" s="2" t="s">
        <v>12</v>
      </c>
      <c r="C602" s="2" t="s">
        <v>13</v>
      </c>
      <c r="D602" s="2" t="s">
        <v>14</v>
      </c>
      <c r="E602" s="12">
        <v>5.4</v>
      </c>
      <c r="F602" s="4">
        <v>45342</v>
      </c>
      <c r="G602" s="5">
        <v>2024</v>
      </c>
      <c r="H602" s="3" t="s">
        <v>45</v>
      </c>
      <c r="I602" s="5">
        <v>2020</v>
      </c>
      <c r="J602" s="12">
        <v>21.7</v>
      </c>
      <c r="K602" s="13">
        <v>46</v>
      </c>
    </row>
    <row r="603" spans="1:11" x14ac:dyDescent="0.25">
      <c r="A603" s="6" t="s">
        <v>653</v>
      </c>
      <c r="B603" s="6" t="s">
        <v>42</v>
      </c>
      <c r="C603" s="6" t="s">
        <v>34</v>
      </c>
      <c r="D603" s="6" t="s">
        <v>31</v>
      </c>
      <c r="E603" s="14">
        <v>0.7</v>
      </c>
      <c r="F603" s="8">
        <v>45345</v>
      </c>
      <c r="G603" s="9">
        <v>2024</v>
      </c>
      <c r="H603" s="7" t="s">
        <v>50</v>
      </c>
      <c r="I603" s="9">
        <v>2019</v>
      </c>
      <c r="J603" s="14">
        <v>5.9</v>
      </c>
      <c r="K603" s="15">
        <v>23</v>
      </c>
    </row>
    <row r="604" spans="1:11" x14ac:dyDescent="0.25">
      <c r="A604" s="2" t="s">
        <v>654</v>
      </c>
      <c r="B604" s="2" t="s">
        <v>42</v>
      </c>
      <c r="C604" s="2" t="s">
        <v>13</v>
      </c>
      <c r="D604" s="2" t="s">
        <v>19</v>
      </c>
      <c r="E604" s="12">
        <v>97.7</v>
      </c>
      <c r="F604" s="4">
        <v>45350</v>
      </c>
      <c r="G604" s="5">
        <v>2024</v>
      </c>
      <c r="H604" s="3" t="s">
        <v>27</v>
      </c>
      <c r="I604" s="5">
        <v>2020</v>
      </c>
      <c r="J604" s="12">
        <v>556.6</v>
      </c>
      <c r="K604" s="13">
        <v>1566</v>
      </c>
    </row>
    <row r="605" spans="1:11" x14ac:dyDescent="0.25">
      <c r="A605" s="6" t="s">
        <v>655</v>
      </c>
      <c r="B605" s="6" t="s">
        <v>42</v>
      </c>
      <c r="C605" s="6" t="s">
        <v>63</v>
      </c>
      <c r="D605" s="6" t="s">
        <v>31</v>
      </c>
      <c r="E605" s="14">
        <v>3.4</v>
      </c>
      <c r="F605" s="8">
        <v>45352</v>
      </c>
      <c r="G605" s="9">
        <v>2024</v>
      </c>
      <c r="H605" s="7" t="s">
        <v>43</v>
      </c>
      <c r="I605" s="9">
        <v>2017</v>
      </c>
      <c r="J605" s="14">
        <v>20.2</v>
      </c>
      <c r="K605" s="15">
        <v>40</v>
      </c>
    </row>
    <row r="606" spans="1:11" x14ac:dyDescent="0.25">
      <c r="A606" s="2" t="s">
        <v>656</v>
      </c>
      <c r="B606" s="2" t="s">
        <v>47</v>
      </c>
      <c r="C606" s="2" t="s">
        <v>30</v>
      </c>
      <c r="D606" s="2" t="s">
        <v>19</v>
      </c>
      <c r="E606" s="12">
        <v>54.6</v>
      </c>
      <c r="F606" s="4">
        <v>45353</v>
      </c>
      <c r="G606" s="5">
        <v>2024</v>
      </c>
      <c r="H606" s="3" t="s">
        <v>43</v>
      </c>
      <c r="I606" s="5">
        <v>2020</v>
      </c>
      <c r="J606" s="12">
        <v>384.6</v>
      </c>
      <c r="K606" s="13">
        <v>775</v>
      </c>
    </row>
    <row r="607" spans="1:11" x14ac:dyDescent="0.25">
      <c r="A607" s="6" t="s">
        <v>657</v>
      </c>
      <c r="B607" s="6" t="s">
        <v>22</v>
      </c>
      <c r="C607" s="6" t="s">
        <v>18</v>
      </c>
      <c r="D607" s="6" t="s">
        <v>14</v>
      </c>
      <c r="E607" s="14">
        <v>14.4</v>
      </c>
      <c r="F607" s="8">
        <v>45354</v>
      </c>
      <c r="G607" s="9">
        <v>2024</v>
      </c>
      <c r="H607" s="7" t="s">
        <v>55</v>
      </c>
      <c r="I607" s="9">
        <v>2024</v>
      </c>
      <c r="J607" s="14">
        <v>76.7</v>
      </c>
      <c r="K607" s="15">
        <v>154</v>
      </c>
    </row>
    <row r="608" spans="1:11" x14ac:dyDescent="0.25">
      <c r="A608" s="2" t="s">
        <v>658</v>
      </c>
      <c r="B608" s="2" t="s">
        <v>17</v>
      </c>
      <c r="C608" s="2" t="s">
        <v>18</v>
      </c>
      <c r="D608" s="2" t="s">
        <v>31</v>
      </c>
      <c r="E608" s="12">
        <v>2</v>
      </c>
      <c r="F608" s="4">
        <v>45356</v>
      </c>
      <c r="G608" s="5">
        <v>2024</v>
      </c>
      <c r="H608" s="3" t="s">
        <v>55</v>
      </c>
      <c r="I608" s="5">
        <v>2020</v>
      </c>
      <c r="J608" s="12">
        <v>12.2</v>
      </c>
      <c r="K608" s="13">
        <v>33</v>
      </c>
    </row>
    <row r="609" spans="1:11" x14ac:dyDescent="0.25">
      <c r="A609" s="6" t="s">
        <v>659</v>
      </c>
      <c r="B609" s="6" t="s">
        <v>33</v>
      </c>
      <c r="C609" s="6" t="s">
        <v>13</v>
      </c>
      <c r="D609" s="6" t="s">
        <v>26</v>
      </c>
      <c r="E609" s="14">
        <v>21.1</v>
      </c>
      <c r="F609" s="8">
        <v>45358</v>
      </c>
      <c r="G609" s="9">
        <v>2024</v>
      </c>
      <c r="H609" s="7" t="s">
        <v>23</v>
      </c>
      <c r="I609" s="9">
        <v>2014</v>
      </c>
      <c r="J609" s="14">
        <v>113</v>
      </c>
      <c r="K609" s="15">
        <v>364</v>
      </c>
    </row>
    <row r="610" spans="1:11" x14ac:dyDescent="0.25">
      <c r="A610" s="2" t="s">
        <v>660</v>
      </c>
      <c r="B610" s="2" t="s">
        <v>47</v>
      </c>
      <c r="C610" s="2" t="s">
        <v>48</v>
      </c>
      <c r="D610" s="2" t="s">
        <v>35</v>
      </c>
      <c r="E610" s="12">
        <v>273.7</v>
      </c>
      <c r="F610" s="4">
        <v>45359</v>
      </c>
      <c r="G610" s="5">
        <v>2024</v>
      </c>
      <c r="H610" s="3" t="s">
        <v>27</v>
      </c>
      <c r="I610" s="5">
        <v>2023</v>
      </c>
      <c r="J610" s="12">
        <v>2365.6999999999998</v>
      </c>
      <c r="K610" s="13">
        <v>4825</v>
      </c>
    </row>
    <row r="611" spans="1:11" x14ac:dyDescent="0.25">
      <c r="A611" s="6" t="s">
        <v>661</v>
      </c>
      <c r="B611" s="6" t="s">
        <v>29</v>
      </c>
      <c r="C611" s="6" t="s">
        <v>18</v>
      </c>
      <c r="D611" s="6" t="s">
        <v>19</v>
      </c>
      <c r="E611" s="14">
        <v>100.3</v>
      </c>
      <c r="F611" s="8">
        <v>45365</v>
      </c>
      <c r="G611" s="9">
        <v>2024</v>
      </c>
      <c r="H611" s="7" t="s">
        <v>107</v>
      </c>
      <c r="I611" s="9">
        <v>2024</v>
      </c>
      <c r="J611" s="14">
        <v>444.7</v>
      </c>
      <c r="K611" s="15">
        <v>1655</v>
      </c>
    </row>
    <row r="612" spans="1:11" x14ac:dyDescent="0.25">
      <c r="A612" s="2" t="s">
        <v>662</v>
      </c>
      <c r="B612" s="2" t="s">
        <v>100</v>
      </c>
      <c r="C612" s="2" t="s">
        <v>34</v>
      </c>
      <c r="D612" s="2" t="s">
        <v>14</v>
      </c>
      <c r="E612" s="12">
        <v>6.8</v>
      </c>
      <c r="F612" s="4">
        <v>45381</v>
      </c>
      <c r="G612" s="5">
        <v>2024</v>
      </c>
      <c r="H612" s="3" t="s">
        <v>123</v>
      </c>
      <c r="I612" s="5">
        <v>2015</v>
      </c>
      <c r="J612" s="12">
        <v>46.6</v>
      </c>
      <c r="K612" s="13">
        <v>80</v>
      </c>
    </row>
    <row r="613" spans="1:11" x14ac:dyDescent="0.25">
      <c r="A613" s="6" t="s">
        <v>663</v>
      </c>
      <c r="B613" s="6" t="s">
        <v>33</v>
      </c>
      <c r="C613" s="6" t="s">
        <v>13</v>
      </c>
      <c r="D613" s="6" t="s">
        <v>14</v>
      </c>
      <c r="E613" s="14">
        <v>10.9</v>
      </c>
      <c r="F613" s="8">
        <v>45381</v>
      </c>
      <c r="G613" s="9">
        <v>2024</v>
      </c>
      <c r="H613" s="7" t="s">
        <v>65</v>
      </c>
      <c r="I613" s="9">
        <v>2013</v>
      </c>
      <c r="J613" s="14">
        <v>61.9</v>
      </c>
      <c r="K613" s="15">
        <v>138</v>
      </c>
    </row>
    <row r="614" spans="1:11" x14ac:dyDescent="0.25">
      <c r="A614" s="2" t="s">
        <v>664</v>
      </c>
      <c r="B614" s="2" t="s">
        <v>42</v>
      </c>
      <c r="C614" s="2" t="s">
        <v>13</v>
      </c>
      <c r="D614" s="2" t="s">
        <v>19</v>
      </c>
      <c r="E614" s="12">
        <v>96.5</v>
      </c>
      <c r="F614" s="4">
        <v>45382</v>
      </c>
      <c r="G614" s="5">
        <v>2024</v>
      </c>
      <c r="H614" s="3" t="s">
        <v>53</v>
      </c>
      <c r="I614" s="5">
        <v>2023</v>
      </c>
      <c r="J614" s="12">
        <v>880.8</v>
      </c>
      <c r="K614" s="13">
        <v>3080</v>
      </c>
    </row>
    <row r="615" spans="1:11" x14ac:dyDescent="0.25">
      <c r="A615" s="6" t="s">
        <v>665</v>
      </c>
      <c r="B615" s="6" t="s">
        <v>47</v>
      </c>
      <c r="C615" s="6" t="s">
        <v>40</v>
      </c>
      <c r="D615" s="6" t="s">
        <v>26</v>
      </c>
      <c r="E615" s="14">
        <v>24.1</v>
      </c>
      <c r="F615" s="8">
        <v>45382</v>
      </c>
      <c r="G615" s="9">
        <v>2024</v>
      </c>
      <c r="H615" s="7" t="s">
        <v>45</v>
      </c>
      <c r="I615" s="9">
        <v>2017</v>
      </c>
      <c r="J615" s="14">
        <v>189.6</v>
      </c>
      <c r="K615" s="15">
        <v>611</v>
      </c>
    </row>
    <row r="616" spans="1:11" x14ac:dyDescent="0.25">
      <c r="A616" s="2" t="s">
        <v>666</v>
      </c>
      <c r="B616" s="2" t="s">
        <v>47</v>
      </c>
      <c r="C616" s="2" t="s">
        <v>48</v>
      </c>
      <c r="D616" s="2" t="s">
        <v>31</v>
      </c>
      <c r="E616" s="12">
        <v>0.8</v>
      </c>
      <c r="F616" s="4">
        <v>45384</v>
      </c>
      <c r="G616" s="5">
        <v>2024</v>
      </c>
      <c r="H616" s="3" t="s">
        <v>55</v>
      </c>
      <c r="I616" s="5">
        <v>2019</v>
      </c>
      <c r="J616" s="12">
        <v>6.8</v>
      </c>
      <c r="K616" s="13">
        <v>12</v>
      </c>
    </row>
    <row r="617" spans="1:11" x14ac:dyDescent="0.25">
      <c r="A617" s="6" t="s">
        <v>667</v>
      </c>
      <c r="B617" s="6" t="s">
        <v>29</v>
      </c>
      <c r="C617" s="6" t="s">
        <v>13</v>
      </c>
      <c r="D617" s="6" t="s">
        <v>19</v>
      </c>
      <c r="E617" s="14">
        <v>116.6</v>
      </c>
      <c r="F617" s="8">
        <v>45393</v>
      </c>
      <c r="G617" s="9">
        <v>2024</v>
      </c>
      <c r="H617" s="7" t="s">
        <v>107</v>
      </c>
      <c r="I617" s="9">
        <v>2017</v>
      </c>
      <c r="J617" s="14">
        <v>1056.2</v>
      </c>
      <c r="K617" s="15">
        <v>3521</v>
      </c>
    </row>
    <row r="618" spans="1:11" x14ac:dyDescent="0.25">
      <c r="A618" s="2" t="s">
        <v>668</v>
      </c>
      <c r="B618" s="2" t="s">
        <v>76</v>
      </c>
      <c r="C618" s="2" t="s">
        <v>63</v>
      </c>
      <c r="D618" s="2" t="s">
        <v>14</v>
      </c>
      <c r="E618" s="12">
        <v>13.4</v>
      </c>
      <c r="F618" s="4">
        <v>45396</v>
      </c>
      <c r="G618" s="5">
        <v>2024</v>
      </c>
      <c r="H618" s="3" t="s">
        <v>60</v>
      </c>
      <c r="I618" s="5">
        <v>2019</v>
      </c>
      <c r="J618" s="12">
        <v>106.6</v>
      </c>
      <c r="K618" s="13">
        <v>402</v>
      </c>
    </row>
    <row r="619" spans="1:11" x14ac:dyDescent="0.25">
      <c r="A619" s="6" t="s">
        <v>669</v>
      </c>
      <c r="B619" s="6" t="s">
        <v>12</v>
      </c>
      <c r="C619" s="6" t="s">
        <v>30</v>
      </c>
      <c r="D619" s="6" t="s">
        <v>14</v>
      </c>
      <c r="E619" s="14">
        <v>6.3</v>
      </c>
      <c r="F619" s="8">
        <v>45403</v>
      </c>
      <c r="G619" s="9">
        <v>2024</v>
      </c>
      <c r="H619" s="7" t="s">
        <v>50</v>
      </c>
      <c r="I619" s="9">
        <v>2012</v>
      </c>
      <c r="J619" s="14">
        <v>30.3</v>
      </c>
      <c r="K619" s="15">
        <v>51</v>
      </c>
    </row>
    <row r="620" spans="1:11" x14ac:dyDescent="0.25">
      <c r="A620" s="2" t="s">
        <v>670</v>
      </c>
      <c r="B620" s="2" t="s">
        <v>47</v>
      </c>
      <c r="C620" s="2" t="s">
        <v>18</v>
      </c>
      <c r="D620" s="2" t="s">
        <v>31</v>
      </c>
      <c r="E620" s="12">
        <v>3.7</v>
      </c>
      <c r="F620" s="4">
        <v>45408</v>
      </c>
      <c r="G620" s="5">
        <v>2024</v>
      </c>
      <c r="H620" s="3" t="s">
        <v>27</v>
      </c>
      <c r="I620" s="5">
        <v>2022</v>
      </c>
      <c r="J620" s="12">
        <v>34.299999999999997</v>
      </c>
      <c r="K620" s="13">
        <v>64</v>
      </c>
    </row>
    <row r="621" spans="1:11" x14ac:dyDescent="0.25">
      <c r="A621" s="6" t="s">
        <v>671</v>
      </c>
      <c r="B621" s="6" t="s">
        <v>47</v>
      </c>
      <c r="C621" s="6" t="s">
        <v>13</v>
      </c>
      <c r="D621" s="6" t="s">
        <v>26</v>
      </c>
      <c r="E621" s="14">
        <v>32.4</v>
      </c>
      <c r="F621" s="8">
        <v>45415</v>
      </c>
      <c r="G621" s="9">
        <v>2024</v>
      </c>
      <c r="H621" s="7" t="s">
        <v>50</v>
      </c>
      <c r="I621" s="9">
        <v>2020</v>
      </c>
      <c r="J621" s="14">
        <v>143.19999999999999</v>
      </c>
      <c r="K621" s="15">
        <v>522</v>
      </c>
    </row>
    <row r="622" spans="1:11" x14ac:dyDescent="0.25">
      <c r="A622" s="2" t="s">
        <v>672</v>
      </c>
      <c r="B622" s="2" t="s">
        <v>33</v>
      </c>
      <c r="C622" s="2" t="s">
        <v>18</v>
      </c>
      <c r="D622" s="2" t="s">
        <v>19</v>
      </c>
      <c r="E622" s="12">
        <v>86</v>
      </c>
      <c r="F622" s="4">
        <v>45417</v>
      </c>
      <c r="G622" s="5">
        <v>2024</v>
      </c>
      <c r="H622" s="3" t="s">
        <v>123</v>
      </c>
      <c r="I622" s="5">
        <v>2012</v>
      </c>
      <c r="J622" s="12">
        <v>631</v>
      </c>
      <c r="K622" s="13">
        <v>1322</v>
      </c>
    </row>
    <row r="623" spans="1:11" x14ac:dyDescent="0.25">
      <c r="A623" s="6" t="s">
        <v>673</v>
      </c>
      <c r="B623" s="6" t="s">
        <v>17</v>
      </c>
      <c r="C623" s="6" t="s">
        <v>34</v>
      </c>
      <c r="D623" s="6" t="s">
        <v>31</v>
      </c>
      <c r="E623" s="14">
        <v>2.4</v>
      </c>
      <c r="F623" s="8">
        <v>45419</v>
      </c>
      <c r="G623" s="9">
        <v>2024</v>
      </c>
      <c r="H623" s="7" t="s">
        <v>58</v>
      </c>
      <c r="I623" s="9">
        <v>2013</v>
      </c>
      <c r="J623" s="14">
        <v>14.4</v>
      </c>
      <c r="K623" s="15">
        <v>35</v>
      </c>
    </row>
    <row r="624" spans="1:11" x14ac:dyDescent="0.25">
      <c r="A624" s="2" t="s">
        <v>674</v>
      </c>
      <c r="B624" s="2" t="s">
        <v>100</v>
      </c>
      <c r="C624" s="2" t="s">
        <v>40</v>
      </c>
      <c r="D624" s="2" t="s">
        <v>26</v>
      </c>
      <c r="E624" s="12">
        <v>17.600000000000001</v>
      </c>
      <c r="F624" s="4">
        <v>45420</v>
      </c>
      <c r="G624" s="5">
        <v>2024</v>
      </c>
      <c r="H624" s="3" t="s">
        <v>55</v>
      </c>
      <c r="I624" s="5">
        <v>2013</v>
      </c>
      <c r="J624" s="12">
        <v>72.099999999999994</v>
      </c>
      <c r="K624" s="13">
        <v>250</v>
      </c>
    </row>
    <row r="625" spans="1:11" x14ac:dyDescent="0.25">
      <c r="A625" s="6" t="s">
        <v>675</v>
      </c>
      <c r="B625" s="6" t="s">
        <v>39</v>
      </c>
      <c r="C625" s="6" t="s">
        <v>18</v>
      </c>
      <c r="D625" s="6" t="s">
        <v>35</v>
      </c>
      <c r="E625" s="14">
        <v>135.9</v>
      </c>
      <c r="F625" s="8">
        <v>45421</v>
      </c>
      <c r="G625" s="9">
        <v>2024</v>
      </c>
      <c r="H625" s="7" t="s">
        <v>50</v>
      </c>
      <c r="I625" s="9">
        <v>2016</v>
      </c>
      <c r="J625" s="14">
        <v>768</v>
      </c>
      <c r="K625" s="15">
        <v>2601</v>
      </c>
    </row>
    <row r="626" spans="1:11" x14ac:dyDescent="0.25">
      <c r="A626" s="2" t="s">
        <v>676</v>
      </c>
      <c r="B626" s="2" t="s">
        <v>17</v>
      </c>
      <c r="C626" s="2" t="s">
        <v>63</v>
      </c>
      <c r="D626" s="2" t="s">
        <v>31</v>
      </c>
      <c r="E626" s="12">
        <v>3</v>
      </c>
      <c r="F626" s="4">
        <v>45422</v>
      </c>
      <c r="G626" s="5">
        <v>2024</v>
      </c>
      <c r="H626" s="3" t="s">
        <v>60</v>
      </c>
      <c r="I626" s="5">
        <v>2021</v>
      </c>
      <c r="J626" s="12">
        <v>18.399999999999999</v>
      </c>
      <c r="K626" s="13">
        <v>59</v>
      </c>
    </row>
    <row r="627" spans="1:11" x14ac:dyDescent="0.25">
      <c r="A627" s="6" t="s">
        <v>677</v>
      </c>
      <c r="B627" s="6" t="s">
        <v>12</v>
      </c>
      <c r="C627" s="6" t="s">
        <v>25</v>
      </c>
      <c r="D627" s="6" t="s">
        <v>14</v>
      </c>
      <c r="E627" s="14">
        <v>11.2</v>
      </c>
      <c r="F627" s="8">
        <v>45430</v>
      </c>
      <c r="G627" s="9">
        <v>2024</v>
      </c>
      <c r="H627" s="7" t="s">
        <v>60</v>
      </c>
      <c r="I627" s="9">
        <v>2019</v>
      </c>
      <c r="J627" s="14">
        <v>60.8</v>
      </c>
      <c r="K627" s="15">
        <v>188</v>
      </c>
    </row>
    <row r="628" spans="1:11" x14ac:dyDescent="0.25">
      <c r="A628" s="2" t="s">
        <v>678</v>
      </c>
      <c r="B628" s="2" t="s">
        <v>42</v>
      </c>
      <c r="C628" s="2" t="s">
        <v>34</v>
      </c>
      <c r="D628" s="2" t="s">
        <v>14</v>
      </c>
      <c r="E628" s="12">
        <v>8.6</v>
      </c>
      <c r="F628" s="4">
        <v>45435</v>
      </c>
      <c r="G628" s="5">
        <v>2024</v>
      </c>
      <c r="H628" s="3" t="s">
        <v>60</v>
      </c>
      <c r="I628" s="5">
        <v>2022</v>
      </c>
      <c r="J628" s="12">
        <v>55.2</v>
      </c>
      <c r="K628" s="13">
        <v>124</v>
      </c>
    </row>
    <row r="629" spans="1:11" x14ac:dyDescent="0.25">
      <c r="A629" s="6" t="s">
        <v>679</v>
      </c>
      <c r="B629" s="6" t="s">
        <v>33</v>
      </c>
      <c r="C629" s="6" t="s">
        <v>18</v>
      </c>
      <c r="D629" s="6" t="s">
        <v>19</v>
      </c>
      <c r="E629" s="14">
        <v>57.6</v>
      </c>
      <c r="F629" s="8">
        <v>45438</v>
      </c>
      <c r="G629" s="9">
        <v>2024</v>
      </c>
      <c r="H629" s="7" t="s">
        <v>45</v>
      </c>
      <c r="I629" s="9">
        <v>2016</v>
      </c>
      <c r="J629" s="14">
        <v>297.89999999999998</v>
      </c>
      <c r="K629" s="15">
        <v>454</v>
      </c>
    </row>
    <row r="630" spans="1:11" x14ac:dyDescent="0.25">
      <c r="A630" s="2" t="s">
        <v>680</v>
      </c>
      <c r="B630" s="2" t="s">
        <v>42</v>
      </c>
      <c r="C630" s="2" t="s">
        <v>13</v>
      </c>
      <c r="D630" s="2" t="s">
        <v>35</v>
      </c>
      <c r="E630" s="12">
        <v>208</v>
      </c>
      <c r="F630" s="4">
        <v>45446</v>
      </c>
      <c r="G630" s="5">
        <v>2024</v>
      </c>
      <c r="H630" s="3" t="s">
        <v>23</v>
      </c>
      <c r="I630" s="5">
        <v>2017</v>
      </c>
      <c r="J630" s="12">
        <v>1316.2</v>
      </c>
      <c r="K630" s="13">
        <v>2792</v>
      </c>
    </row>
    <row r="631" spans="1:11" x14ac:dyDescent="0.25">
      <c r="A631" s="6" t="s">
        <v>681</v>
      </c>
      <c r="B631" s="6" t="s">
        <v>29</v>
      </c>
      <c r="C631" s="6" t="s">
        <v>18</v>
      </c>
      <c r="D631" s="6" t="s">
        <v>14</v>
      </c>
      <c r="E631" s="14">
        <v>17</v>
      </c>
      <c r="F631" s="8">
        <v>45447</v>
      </c>
      <c r="G631" s="9">
        <v>2024</v>
      </c>
      <c r="H631" s="7" t="s">
        <v>107</v>
      </c>
      <c r="I631" s="9">
        <v>2016</v>
      </c>
      <c r="J631" s="14">
        <v>66.099999999999994</v>
      </c>
      <c r="K631" s="15">
        <v>116</v>
      </c>
    </row>
    <row r="632" spans="1:11" x14ac:dyDescent="0.25">
      <c r="A632" s="2" t="s">
        <v>682</v>
      </c>
      <c r="B632" s="2" t="s">
        <v>33</v>
      </c>
      <c r="C632" s="2" t="s">
        <v>18</v>
      </c>
      <c r="D632" s="2" t="s">
        <v>31</v>
      </c>
      <c r="E632" s="12">
        <v>2.1</v>
      </c>
      <c r="F632" s="4">
        <v>45448</v>
      </c>
      <c r="G632" s="5">
        <v>2024</v>
      </c>
      <c r="H632" s="3" t="s">
        <v>65</v>
      </c>
      <c r="I632" s="5">
        <v>2021</v>
      </c>
      <c r="J632" s="12">
        <v>15.6</v>
      </c>
      <c r="K632" s="13">
        <v>57</v>
      </c>
    </row>
    <row r="633" spans="1:11" x14ac:dyDescent="0.25">
      <c r="A633" s="6" t="s">
        <v>683</v>
      </c>
      <c r="B633" s="6" t="s">
        <v>47</v>
      </c>
      <c r="C633" s="6" t="s">
        <v>18</v>
      </c>
      <c r="D633" s="6" t="s">
        <v>31</v>
      </c>
      <c r="E633" s="14">
        <v>0.9</v>
      </c>
      <c r="F633" s="8">
        <v>45449</v>
      </c>
      <c r="G633" s="9">
        <v>2024</v>
      </c>
      <c r="H633" s="7" t="s">
        <v>65</v>
      </c>
      <c r="I633" s="9">
        <v>2022</v>
      </c>
      <c r="J633" s="14">
        <v>7.2</v>
      </c>
      <c r="K633" s="15">
        <v>23</v>
      </c>
    </row>
    <row r="634" spans="1:11" x14ac:dyDescent="0.25">
      <c r="A634" s="2" t="s">
        <v>684</v>
      </c>
      <c r="B634" s="2" t="s">
        <v>100</v>
      </c>
      <c r="C634" s="2" t="s">
        <v>13</v>
      </c>
      <c r="D634" s="2" t="s">
        <v>31</v>
      </c>
      <c r="E634" s="12">
        <v>3.6</v>
      </c>
      <c r="F634" s="4">
        <v>45450</v>
      </c>
      <c r="G634" s="5">
        <v>2024</v>
      </c>
      <c r="H634" s="3" t="s">
        <v>65</v>
      </c>
      <c r="I634" s="5">
        <v>2016</v>
      </c>
      <c r="J634" s="12">
        <v>18.600000000000001</v>
      </c>
      <c r="K634" s="13">
        <v>62</v>
      </c>
    </row>
    <row r="635" spans="1:11" x14ac:dyDescent="0.25">
      <c r="A635" s="6" t="s">
        <v>685</v>
      </c>
      <c r="B635" s="6" t="s">
        <v>33</v>
      </c>
      <c r="C635" s="6" t="s">
        <v>25</v>
      </c>
      <c r="D635" s="6" t="s">
        <v>19</v>
      </c>
      <c r="E635" s="14">
        <v>113.5</v>
      </c>
      <c r="F635" s="8">
        <v>45451</v>
      </c>
      <c r="G635" s="9">
        <v>2024</v>
      </c>
      <c r="H635" s="7" t="s">
        <v>20</v>
      </c>
      <c r="I635" s="9">
        <v>2016</v>
      </c>
      <c r="J635" s="14">
        <v>1006.2</v>
      </c>
      <c r="K635" s="15">
        <v>3013</v>
      </c>
    </row>
    <row r="636" spans="1:11" x14ac:dyDescent="0.25">
      <c r="A636" s="2" t="s">
        <v>686</v>
      </c>
      <c r="B636" s="2" t="s">
        <v>17</v>
      </c>
      <c r="C636" s="2" t="s">
        <v>13</v>
      </c>
      <c r="D636" s="2" t="s">
        <v>19</v>
      </c>
      <c r="E636" s="12">
        <v>133.4</v>
      </c>
      <c r="F636" s="4">
        <v>45457</v>
      </c>
      <c r="G636" s="5">
        <v>2024</v>
      </c>
      <c r="H636" s="3" t="s">
        <v>15</v>
      </c>
      <c r="I636" s="5">
        <v>2019</v>
      </c>
      <c r="J636" s="12">
        <v>1240.9000000000001</v>
      </c>
      <c r="K636" s="13">
        <v>3323</v>
      </c>
    </row>
    <row r="637" spans="1:11" x14ac:dyDescent="0.25">
      <c r="A637" s="6" t="s">
        <v>687</v>
      </c>
      <c r="B637" s="6" t="s">
        <v>33</v>
      </c>
      <c r="C637" s="6" t="s">
        <v>13</v>
      </c>
      <c r="D637" s="6" t="s">
        <v>14</v>
      </c>
      <c r="E637" s="14">
        <v>4.5999999999999996</v>
      </c>
      <c r="F637" s="8">
        <v>45461</v>
      </c>
      <c r="G637" s="9">
        <v>2024</v>
      </c>
      <c r="H637" s="7" t="s">
        <v>50</v>
      </c>
      <c r="I637" s="9">
        <v>2017</v>
      </c>
      <c r="J637" s="14">
        <v>16.8</v>
      </c>
      <c r="K637" s="15">
        <v>56</v>
      </c>
    </row>
    <row r="638" spans="1:11" x14ac:dyDescent="0.25">
      <c r="A638" s="2" t="s">
        <v>688</v>
      </c>
      <c r="B638" s="2" t="s">
        <v>12</v>
      </c>
      <c r="C638" s="2" t="s">
        <v>18</v>
      </c>
      <c r="D638" s="2" t="s">
        <v>26</v>
      </c>
      <c r="E638" s="12">
        <v>17.899999999999999</v>
      </c>
      <c r="F638" s="4">
        <v>45466</v>
      </c>
      <c r="G638" s="5">
        <v>2024</v>
      </c>
      <c r="H638" s="3" t="s">
        <v>53</v>
      </c>
      <c r="I638" s="5">
        <v>2015</v>
      </c>
      <c r="J638" s="12">
        <v>78.7</v>
      </c>
      <c r="K638" s="13">
        <v>216</v>
      </c>
    </row>
    <row r="639" spans="1:11" x14ac:dyDescent="0.25">
      <c r="A639" s="6" t="s">
        <v>689</v>
      </c>
      <c r="B639" s="6" t="s">
        <v>33</v>
      </c>
      <c r="C639" s="6" t="s">
        <v>34</v>
      </c>
      <c r="D639" s="6" t="s">
        <v>14</v>
      </c>
      <c r="E639" s="14">
        <v>6.8</v>
      </c>
      <c r="F639" s="8">
        <v>45468</v>
      </c>
      <c r="G639" s="9">
        <v>2024</v>
      </c>
      <c r="H639" s="7" t="s">
        <v>20</v>
      </c>
      <c r="I639" s="9">
        <v>2012</v>
      </c>
      <c r="J639" s="14">
        <v>30.3</v>
      </c>
      <c r="K639" s="15">
        <v>117</v>
      </c>
    </row>
    <row r="640" spans="1:11" x14ac:dyDescent="0.25">
      <c r="A640" s="2" t="s">
        <v>690</v>
      </c>
      <c r="B640" s="2" t="s">
        <v>104</v>
      </c>
      <c r="C640" s="2" t="s">
        <v>34</v>
      </c>
      <c r="D640" s="2" t="s">
        <v>26</v>
      </c>
      <c r="E640" s="12">
        <v>33.799999999999997</v>
      </c>
      <c r="F640" s="4">
        <v>45470</v>
      </c>
      <c r="G640" s="5">
        <v>2024</v>
      </c>
      <c r="H640" s="3" t="s">
        <v>20</v>
      </c>
      <c r="I640" s="5">
        <v>2016</v>
      </c>
      <c r="J640" s="12">
        <v>118.8</v>
      </c>
      <c r="K640" s="13">
        <v>415</v>
      </c>
    </row>
    <row r="641" spans="1:11" x14ac:dyDescent="0.25">
      <c r="A641" s="6" t="s">
        <v>691</v>
      </c>
      <c r="B641" s="6" t="s">
        <v>100</v>
      </c>
      <c r="C641" s="6" t="s">
        <v>18</v>
      </c>
      <c r="D641" s="6" t="s">
        <v>31</v>
      </c>
      <c r="E641" s="14">
        <v>3.2</v>
      </c>
      <c r="F641" s="8">
        <v>45474</v>
      </c>
      <c r="G641" s="9">
        <v>2024</v>
      </c>
      <c r="H641" s="7" t="s">
        <v>55</v>
      </c>
      <c r="I641" s="9">
        <v>2024</v>
      </c>
      <c r="J641" s="14">
        <v>30.6</v>
      </c>
      <c r="K641" s="15">
        <v>88</v>
      </c>
    </row>
    <row r="642" spans="1:11" x14ac:dyDescent="0.25">
      <c r="A642" s="2" t="s">
        <v>692</v>
      </c>
      <c r="B642" s="2" t="s">
        <v>29</v>
      </c>
      <c r="C642" s="2" t="s">
        <v>34</v>
      </c>
      <c r="D642" s="2" t="s">
        <v>31</v>
      </c>
      <c r="E642" s="12">
        <v>1</v>
      </c>
      <c r="F642" s="4">
        <v>45474</v>
      </c>
      <c r="G642" s="5">
        <v>2024</v>
      </c>
      <c r="H642" s="3" t="s">
        <v>27</v>
      </c>
      <c r="I642" s="5">
        <v>2019</v>
      </c>
      <c r="J642" s="12">
        <v>7.5</v>
      </c>
      <c r="K642" s="13">
        <v>26</v>
      </c>
    </row>
    <row r="643" spans="1:11" x14ac:dyDescent="0.25">
      <c r="A643" s="6" t="s">
        <v>693</v>
      </c>
      <c r="B643" s="6" t="s">
        <v>42</v>
      </c>
      <c r="C643" s="6" t="s">
        <v>34</v>
      </c>
      <c r="D643" s="6" t="s">
        <v>31</v>
      </c>
      <c r="E643" s="14">
        <v>2.2999999999999998</v>
      </c>
      <c r="F643" s="8">
        <v>45482</v>
      </c>
      <c r="G643" s="9">
        <v>2024</v>
      </c>
      <c r="H643" s="7" t="s">
        <v>37</v>
      </c>
      <c r="I643" s="9">
        <v>2024</v>
      </c>
      <c r="J643" s="14">
        <v>11.1</v>
      </c>
      <c r="K643" s="15">
        <v>21</v>
      </c>
    </row>
    <row r="644" spans="1:11" x14ac:dyDescent="0.25">
      <c r="A644" s="2" t="s">
        <v>694</v>
      </c>
      <c r="B644" s="2" t="s">
        <v>33</v>
      </c>
      <c r="C644" s="2" t="s">
        <v>18</v>
      </c>
      <c r="D644" s="2" t="s">
        <v>14</v>
      </c>
      <c r="E644" s="12">
        <v>15.1</v>
      </c>
      <c r="F644" s="4">
        <v>45485</v>
      </c>
      <c r="G644" s="5">
        <v>2024</v>
      </c>
      <c r="H644" s="3" t="s">
        <v>45</v>
      </c>
      <c r="I644" s="5">
        <v>2020</v>
      </c>
      <c r="J644" s="12">
        <v>56.8</v>
      </c>
      <c r="K644" s="13">
        <v>151</v>
      </c>
    </row>
    <row r="645" spans="1:11" x14ac:dyDescent="0.25">
      <c r="A645" s="6" t="s">
        <v>695</v>
      </c>
      <c r="B645" s="6" t="s">
        <v>29</v>
      </c>
      <c r="C645" s="6" t="s">
        <v>13</v>
      </c>
      <c r="D645" s="6" t="s">
        <v>14</v>
      </c>
      <c r="E645" s="14">
        <v>4.8</v>
      </c>
      <c r="F645" s="8">
        <v>45486</v>
      </c>
      <c r="G645" s="9">
        <v>2024</v>
      </c>
      <c r="H645" s="7" t="s">
        <v>20</v>
      </c>
      <c r="I645" s="9">
        <v>2017</v>
      </c>
      <c r="J645" s="14">
        <v>35.5</v>
      </c>
      <c r="K645" s="15">
        <v>86</v>
      </c>
    </row>
    <row r="646" spans="1:11" x14ac:dyDescent="0.25">
      <c r="A646" s="2" t="s">
        <v>696</v>
      </c>
      <c r="B646" s="2" t="s">
        <v>67</v>
      </c>
      <c r="C646" s="2" t="s">
        <v>63</v>
      </c>
      <c r="D646" s="2" t="s">
        <v>26</v>
      </c>
      <c r="E646" s="12">
        <v>40.4</v>
      </c>
      <c r="F646" s="4">
        <v>45490</v>
      </c>
      <c r="G646" s="5">
        <v>2024</v>
      </c>
      <c r="H646" s="3" t="s">
        <v>55</v>
      </c>
      <c r="I646" s="5">
        <v>2014</v>
      </c>
      <c r="J646" s="12">
        <v>142.5</v>
      </c>
      <c r="K646" s="13">
        <v>305</v>
      </c>
    </row>
    <row r="647" spans="1:11" x14ac:dyDescent="0.25">
      <c r="A647" s="6" t="s">
        <v>697</v>
      </c>
      <c r="B647" s="6" t="s">
        <v>29</v>
      </c>
      <c r="C647" s="6" t="s">
        <v>40</v>
      </c>
      <c r="D647" s="6" t="s">
        <v>31</v>
      </c>
      <c r="E647" s="14">
        <v>3.9</v>
      </c>
      <c r="F647" s="8">
        <v>45493</v>
      </c>
      <c r="G647" s="9">
        <v>2024</v>
      </c>
      <c r="H647" s="7" t="s">
        <v>15</v>
      </c>
      <c r="I647" s="9">
        <v>2020</v>
      </c>
      <c r="J647" s="14">
        <v>34</v>
      </c>
      <c r="K647" s="15">
        <v>84</v>
      </c>
    </row>
    <row r="648" spans="1:11" x14ac:dyDescent="0.25">
      <c r="A648" s="2" t="s">
        <v>698</v>
      </c>
      <c r="B648" s="2" t="s">
        <v>17</v>
      </c>
      <c r="C648" s="2" t="s">
        <v>18</v>
      </c>
      <c r="D648" s="2" t="s">
        <v>26</v>
      </c>
      <c r="E648" s="12">
        <v>22.8</v>
      </c>
      <c r="F648" s="4">
        <v>45496</v>
      </c>
      <c r="G648" s="5">
        <v>2024</v>
      </c>
      <c r="H648" s="3" t="s">
        <v>65</v>
      </c>
      <c r="I648" s="5">
        <v>2017</v>
      </c>
      <c r="J648" s="12">
        <v>103.3</v>
      </c>
      <c r="K648" s="13">
        <v>184</v>
      </c>
    </row>
    <row r="649" spans="1:11" x14ac:dyDescent="0.25">
      <c r="A649" s="6" t="s">
        <v>699</v>
      </c>
      <c r="B649" s="6" t="s">
        <v>42</v>
      </c>
      <c r="C649" s="6" t="s">
        <v>48</v>
      </c>
      <c r="D649" s="6" t="s">
        <v>14</v>
      </c>
      <c r="E649" s="14">
        <v>14.7</v>
      </c>
      <c r="F649" s="8">
        <v>45498</v>
      </c>
      <c r="G649" s="9">
        <v>2024</v>
      </c>
      <c r="H649" s="7" t="s">
        <v>60</v>
      </c>
      <c r="I649" s="9">
        <v>2015</v>
      </c>
      <c r="J649" s="14">
        <v>97.9</v>
      </c>
      <c r="K649" s="15">
        <v>274</v>
      </c>
    </row>
    <row r="650" spans="1:11" x14ac:dyDescent="0.25">
      <c r="A650" s="2" t="s">
        <v>700</v>
      </c>
      <c r="B650" s="2" t="s">
        <v>29</v>
      </c>
      <c r="C650" s="2" t="s">
        <v>48</v>
      </c>
      <c r="D650" s="2" t="s">
        <v>14</v>
      </c>
      <c r="E650" s="12">
        <v>15.1</v>
      </c>
      <c r="F650" s="4">
        <v>45500</v>
      </c>
      <c r="G650" s="5">
        <v>2024</v>
      </c>
      <c r="H650" s="3" t="s">
        <v>45</v>
      </c>
      <c r="I650" s="5">
        <v>2021</v>
      </c>
      <c r="J650" s="12">
        <v>107</v>
      </c>
      <c r="K650" s="13">
        <v>178</v>
      </c>
    </row>
    <row r="651" spans="1:11" x14ac:dyDescent="0.25">
      <c r="A651" s="6" t="s">
        <v>701</v>
      </c>
      <c r="B651" s="6" t="s">
        <v>39</v>
      </c>
      <c r="C651" s="6" t="s">
        <v>13</v>
      </c>
      <c r="D651" s="6" t="s">
        <v>35</v>
      </c>
      <c r="E651" s="14">
        <v>165.1</v>
      </c>
      <c r="F651" s="8">
        <v>45501</v>
      </c>
      <c r="G651" s="9">
        <v>2024</v>
      </c>
      <c r="H651" s="7" t="s">
        <v>27</v>
      </c>
      <c r="I651" s="9">
        <v>2017</v>
      </c>
      <c r="J651" s="14">
        <v>1720.4</v>
      </c>
      <c r="K651" s="15">
        <v>6339</v>
      </c>
    </row>
    <row r="652" spans="1:11" x14ac:dyDescent="0.25">
      <c r="A652" s="2" t="s">
        <v>702</v>
      </c>
      <c r="B652" s="2" t="s">
        <v>22</v>
      </c>
      <c r="C652" s="2" t="s">
        <v>18</v>
      </c>
      <c r="D652" s="2" t="s">
        <v>19</v>
      </c>
      <c r="E652" s="12">
        <v>65.5</v>
      </c>
      <c r="F652" s="4">
        <v>45502</v>
      </c>
      <c r="G652" s="5">
        <v>2024</v>
      </c>
      <c r="H652" s="3" t="s">
        <v>53</v>
      </c>
      <c r="I652" s="5">
        <v>2014</v>
      </c>
      <c r="J652" s="12">
        <v>280.10000000000002</v>
      </c>
      <c r="K652" s="13">
        <v>925</v>
      </c>
    </row>
    <row r="653" spans="1:11" x14ac:dyDescent="0.25">
      <c r="A653" s="6" t="s">
        <v>703</v>
      </c>
      <c r="B653" s="6" t="s">
        <v>29</v>
      </c>
      <c r="C653" s="6" t="s">
        <v>18</v>
      </c>
      <c r="D653" s="6" t="s">
        <v>31</v>
      </c>
      <c r="E653" s="14">
        <v>4.5999999999999996</v>
      </c>
      <c r="F653" s="8">
        <v>45503</v>
      </c>
      <c r="G653" s="9">
        <v>2024</v>
      </c>
      <c r="H653" s="7" t="s">
        <v>20</v>
      </c>
      <c r="I653" s="9">
        <v>2021</v>
      </c>
      <c r="J653" s="14">
        <v>23.1</v>
      </c>
      <c r="K653" s="15">
        <v>62</v>
      </c>
    </row>
    <row r="654" spans="1:11" x14ac:dyDescent="0.25">
      <c r="A654" s="2" t="s">
        <v>704</v>
      </c>
      <c r="B654" s="2" t="s">
        <v>12</v>
      </c>
      <c r="C654" s="2" t="s">
        <v>34</v>
      </c>
      <c r="D654" s="2" t="s">
        <v>26</v>
      </c>
      <c r="E654" s="12">
        <v>33.9</v>
      </c>
      <c r="F654" s="4">
        <v>45505</v>
      </c>
      <c r="G654" s="5">
        <v>2024</v>
      </c>
      <c r="H654" s="3" t="s">
        <v>123</v>
      </c>
      <c r="I654" s="5">
        <v>2015</v>
      </c>
      <c r="J654" s="12">
        <v>185.1</v>
      </c>
      <c r="K654" s="13">
        <v>577</v>
      </c>
    </row>
    <row r="655" spans="1:11" x14ac:dyDescent="0.25">
      <c r="A655" s="6" t="s">
        <v>705</v>
      </c>
      <c r="B655" s="6" t="s">
        <v>17</v>
      </c>
      <c r="C655" s="6" t="s">
        <v>18</v>
      </c>
      <c r="D655" s="6" t="s">
        <v>19</v>
      </c>
      <c r="E655" s="14">
        <v>50.1</v>
      </c>
      <c r="F655" s="8">
        <v>45515</v>
      </c>
      <c r="G655" s="9">
        <v>2024</v>
      </c>
      <c r="H655" s="7" t="s">
        <v>53</v>
      </c>
      <c r="I655" s="9">
        <v>2024</v>
      </c>
      <c r="J655" s="14">
        <v>290.8</v>
      </c>
      <c r="K655" s="15">
        <v>484</v>
      </c>
    </row>
    <row r="656" spans="1:11" x14ac:dyDescent="0.25">
      <c r="A656" s="2" t="s">
        <v>706</v>
      </c>
      <c r="B656" s="2" t="s">
        <v>47</v>
      </c>
      <c r="C656" s="2" t="s">
        <v>13</v>
      </c>
      <c r="D656" s="2" t="s">
        <v>14</v>
      </c>
      <c r="E656" s="12">
        <v>7</v>
      </c>
      <c r="F656" s="4">
        <v>45515</v>
      </c>
      <c r="G656" s="5">
        <v>2024</v>
      </c>
      <c r="H656" s="3" t="s">
        <v>55</v>
      </c>
      <c r="I656" s="5">
        <v>2012</v>
      </c>
      <c r="J656" s="12">
        <v>25.6</v>
      </c>
      <c r="K656" s="13">
        <v>67</v>
      </c>
    </row>
    <row r="657" spans="1:11" x14ac:dyDescent="0.25">
      <c r="A657" s="6" t="s">
        <v>707</v>
      </c>
      <c r="B657" s="6" t="s">
        <v>33</v>
      </c>
      <c r="C657" s="6" t="s">
        <v>18</v>
      </c>
      <c r="D657" s="6" t="s">
        <v>31</v>
      </c>
      <c r="E657" s="14">
        <v>3.1</v>
      </c>
      <c r="F657" s="8">
        <v>45523</v>
      </c>
      <c r="G657" s="9">
        <v>2024</v>
      </c>
      <c r="H657" s="7" t="s">
        <v>43</v>
      </c>
      <c r="I657" s="9">
        <v>2022</v>
      </c>
      <c r="J657" s="14">
        <v>21.2</v>
      </c>
      <c r="K657" s="15">
        <v>42</v>
      </c>
    </row>
    <row r="658" spans="1:11" x14ac:dyDescent="0.25">
      <c r="A658" s="2" t="s">
        <v>708</v>
      </c>
      <c r="B658" s="2" t="s">
        <v>47</v>
      </c>
      <c r="C658" s="2" t="s">
        <v>18</v>
      </c>
      <c r="D658" s="2" t="s">
        <v>26</v>
      </c>
      <c r="E658" s="12">
        <v>25.8</v>
      </c>
      <c r="F658" s="4">
        <v>45535</v>
      </c>
      <c r="G658" s="5">
        <v>2024</v>
      </c>
      <c r="H658" s="3" t="s">
        <v>37</v>
      </c>
      <c r="I658" s="5">
        <v>2012</v>
      </c>
      <c r="J658" s="12">
        <v>135.4</v>
      </c>
      <c r="K658" s="13">
        <v>485</v>
      </c>
    </row>
    <row r="659" spans="1:11" x14ac:dyDescent="0.25">
      <c r="A659" s="6" t="s">
        <v>709</v>
      </c>
      <c r="B659" s="6" t="s">
        <v>12</v>
      </c>
      <c r="C659" s="6" t="s">
        <v>18</v>
      </c>
      <c r="D659" s="6" t="s">
        <v>31</v>
      </c>
      <c r="E659" s="14">
        <v>0.9</v>
      </c>
      <c r="F659" s="8">
        <v>45538</v>
      </c>
      <c r="G659" s="9">
        <v>2024</v>
      </c>
      <c r="H659" s="7" t="s">
        <v>45</v>
      </c>
      <c r="I659" s="9">
        <v>2022</v>
      </c>
      <c r="J659" s="14">
        <v>8.5</v>
      </c>
      <c r="K659" s="15">
        <v>25</v>
      </c>
    </row>
    <row r="660" spans="1:11" x14ac:dyDescent="0.25">
      <c r="A660" s="2" t="s">
        <v>710</v>
      </c>
      <c r="B660" s="2" t="s">
        <v>29</v>
      </c>
      <c r="C660" s="2" t="s">
        <v>13</v>
      </c>
      <c r="D660" s="2" t="s">
        <v>19</v>
      </c>
      <c r="E660" s="12">
        <v>66</v>
      </c>
      <c r="F660" s="4">
        <v>45538</v>
      </c>
      <c r="G660" s="5">
        <v>2024</v>
      </c>
      <c r="H660" s="3" t="s">
        <v>15</v>
      </c>
      <c r="I660" s="5">
        <v>2013</v>
      </c>
      <c r="J660" s="12">
        <v>454.8</v>
      </c>
      <c r="K660" s="13">
        <v>1346</v>
      </c>
    </row>
    <row r="661" spans="1:11" x14ac:dyDescent="0.25">
      <c r="A661" s="6" t="s">
        <v>711</v>
      </c>
      <c r="B661" s="6" t="s">
        <v>29</v>
      </c>
      <c r="C661" s="6" t="s">
        <v>71</v>
      </c>
      <c r="D661" s="6" t="s">
        <v>31</v>
      </c>
      <c r="E661" s="14">
        <v>1.6</v>
      </c>
      <c r="F661" s="8">
        <v>45542</v>
      </c>
      <c r="G661" s="9">
        <v>2024</v>
      </c>
      <c r="H661" s="7" t="s">
        <v>50</v>
      </c>
      <c r="I661" s="9">
        <v>2022</v>
      </c>
      <c r="J661" s="14">
        <v>12.3</v>
      </c>
      <c r="K661" s="15">
        <v>43</v>
      </c>
    </row>
    <row r="662" spans="1:11" x14ac:dyDescent="0.25">
      <c r="A662" s="2" t="s">
        <v>712</v>
      </c>
      <c r="B662" s="2" t="s">
        <v>42</v>
      </c>
      <c r="C662" s="2" t="s">
        <v>13</v>
      </c>
      <c r="D662" s="2" t="s">
        <v>14</v>
      </c>
      <c r="E662" s="12">
        <v>7.7</v>
      </c>
      <c r="F662" s="4">
        <v>45543</v>
      </c>
      <c r="G662" s="5">
        <v>2024</v>
      </c>
      <c r="H662" s="3" t="s">
        <v>45</v>
      </c>
      <c r="I662" s="5">
        <v>2020</v>
      </c>
      <c r="J662" s="12">
        <v>61.3</v>
      </c>
      <c r="K662" s="13">
        <v>142</v>
      </c>
    </row>
    <row r="663" spans="1:11" x14ac:dyDescent="0.25">
      <c r="A663" s="6" t="s">
        <v>713</v>
      </c>
      <c r="B663" s="6" t="s">
        <v>33</v>
      </c>
      <c r="C663" s="6" t="s">
        <v>13</v>
      </c>
      <c r="D663" s="6" t="s">
        <v>31</v>
      </c>
      <c r="E663" s="14">
        <v>2</v>
      </c>
      <c r="F663" s="8">
        <v>45545</v>
      </c>
      <c r="G663" s="9">
        <v>2024</v>
      </c>
      <c r="H663" s="7" t="s">
        <v>60</v>
      </c>
      <c r="I663" s="9">
        <v>2018</v>
      </c>
      <c r="J663" s="14">
        <v>16</v>
      </c>
      <c r="K663" s="15">
        <v>24</v>
      </c>
    </row>
    <row r="664" spans="1:11" x14ac:dyDescent="0.25">
      <c r="A664" s="2" t="s">
        <v>714</v>
      </c>
      <c r="B664" s="2" t="s">
        <v>22</v>
      </c>
      <c r="C664" s="2" t="s">
        <v>13</v>
      </c>
      <c r="D664" s="2" t="s">
        <v>35</v>
      </c>
      <c r="E664" s="12">
        <v>310.2</v>
      </c>
      <c r="F664" s="4">
        <v>45555</v>
      </c>
      <c r="G664" s="5">
        <v>2024</v>
      </c>
      <c r="H664" s="3" t="s">
        <v>65</v>
      </c>
      <c r="I664" s="5">
        <v>2015</v>
      </c>
      <c r="J664" s="12">
        <v>1765.3</v>
      </c>
      <c r="K664" s="13">
        <v>5960</v>
      </c>
    </row>
    <row r="665" spans="1:11" x14ac:dyDescent="0.25">
      <c r="A665" s="6" t="s">
        <v>715</v>
      </c>
      <c r="B665" s="6" t="s">
        <v>29</v>
      </c>
      <c r="C665" s="6" t="s">
        <v>18</v>
      </c>
      <c r="D665" s="6" t="s">
        <v>31</v>
      </c>
      <c r="E665" s="14">
        <v>2.8</v>
      </c>
      <c r="F665" s="8">
        <v>45556</v>
      </c>
      <c r="G665" s="9">
        <v>2024</v>
      </c>
      <c r="H665" s="7" t="s">
        <v>50</v>
      </c>
      <c r="I665" s="9">
        <v>2023</v>
      </c>
      <c r="J665" s="14">
        <v>25</v>
      </c>
      <c r="K665" s="15">
        <v>95</v>
      </c>
    </row>
    <row r="666" spans="1:11" x14ac:dyDescent="0.25">
      <c r="A666" s="2" t="s">
        <v>716</v>
      </c>
      <c r="B666" s="2" t="s">
        <v>104</v>
      </c>
      <c r="C666" s="2" t="s">
        <v>13</v>
      </c>
      <c r="D666" s="2" t="s">
        <v>31</v>
      </c>
      <c r="E666" s="12">
        <v>1.5</v>
      </c>
      <c r="F666" s="4">
        <v>45560</v>
      </c>
      <c r="G666" s="5">
        <v>2024</v>
      </c>
      <c r="H666" s="3" t="s">
        <v>20</v>
      </c>
      <c r="I666" s="5">
        <v>2018</v>
      </c>
      <c r="J666" s="12">
        <v>7.5</v>
      </c>
      <c r="K666" s="13">
        <v>12</v>
      </c>
    </row>
    <row r="667" spans="1:11" x14ac:dyDescent="0.25">
      <c r="A667" s="6" t="s">
        <v>717</v>
      </c>
      <c r="B667" s="6" t="s">
        <v>76</v>
      </c>
      <c r="C667" s="6" t="s">
        <v>18</v>
      </c>
      <c r="D667" s="6" t="s">
        <v>31</v>
      </c>
      <c r="E667" s="14">
        <v>3.7</v>
      </c>
      <c r="F667" s="8">
        <v>45561</v>
      </c>
      <c r="G667" s="9">
        <v>2024</v>
      </c>
      <c r="H667" s="7" t="s">
        <v>43</v>
      </c>
      <c r="I667" s="9">
        <v>2013</v>
      </c>
      <c r="J667" s="14">
        <v>16.600000000000001</v>
      </c>
      <c r="K667" s="15">
        <v>45</v>
      </c>
    </row>
    <row r="668" spans="1:11" x14ac:dyDescent="0.25">
      <c r="A668" s="2" t="s">
        <v>718</v>
      </c>
      <c r="B668" s="2" t="s">
        <v>47</v>
      </c>
      <c r="C668" s="2" t="s">
        <v>13</v>
      </c>
      <c r="D668" s="2" t="s">
        <v>14</v>
      </c>
      <c r="E668" s="12">
        <v>4.7</v>
      </c>
      <c r="F668" s="4">
        <v>45561</v>
      </c>
      <c r="G668" s="5">
        <v>2024</v>
      </c>
      <c r="H668" s="3" t="s">
        <v>107</v>
      </c>
      <c r="I668" s="5">
        <v>2023</v>
      </c>
      <c r="J668" s="12">
        <v>26.9</v>
      </c>
      <c r="K668" s="13">
        <v>107</v>
      </c>
    </row>
    <row r="669" spans="1:11" x14ac:dyDescent="0.25">
      <c r="A669" s="6" t="s">
        <v>719</v>
      </c>
      <c r="B669" s="6" t="s">
        <v>17</v>
      </c>
      <c r="C669" s="6" t="s">
        <v>13</v>
      </c>
      <c r="D669" s="6" t="s">
        <v>14</v>
      </c>
      <c r="E669" s="14">
        <v>10.7</v>
      </c>
      <c r="F669" s="8">
        <v>45562</v>
      </c>
      <c r="G669" s="9">
        <v>2024</v>
      </c>
      <c r="H669" s="7" t="s">
        <v>65</v>
      </c>
      <c r="I669" s="9">
        <v>2015</v>
      </c>
      <c r="J669" s="14">
        <v>56.3</v>
      </c>
      <c r="K669" s="15">
        <v>106</v>
      </c>
    </row>
    <row r="670" spans="1:11" x14ac:dyDescent="0.25">
      <c r="A670" s="2" t="s">
        <v>720</v>
      </c>
      <c r="B670" s="2" t="s">
        <v>100</v>
      </c>
      <c r="C670" s="2" t="s">
        <v>18</v>
      </c>
      <c r="D670" s="2" t="s">
        <v>31</v>
      </c>
      <c r="E670" s="12">
        <v>1</v>
      </c>
      <c r="F670" s="4">
        <v>45563</v>
      </c>
      <c r="G670" s="5">
        <v>2024</v>
      </c>
      <c r="H670" s="3" t="s">
        <v>55</v>
      </c>
      <c r="I670" s="5">
        <v>2021</v>
      </c>
      <c r="J670" s="12">
        <v>6.4</v>
      </c>
      <c r="K670" s="13">
        <v>20</v>
      </c>
    </row>
    <row r="671" spans="1:11" x14ac:dyDescent="0.25">
      <c r="A671" s="6" t="s">
        <v>721</v>
      </c>
      <c r="B671" s="6" t="s">
        <v>100</v>
      </c>
      <c r="C671" s="6" t="s">
        <v>13</v>
      </c>
      <c r="D671" s="6" t="s">
        <v>31</v>
      </c>
      <c r="E671" s="14">
        <v>4.5</v>
      </c>
      <c r="F671" s="8">
        <v>45565</v>
      </c>
      <c r="G671" s="9">
        <v>2024</v>
      </c>
      <c r="H671" s="7" t="s">
        <v>55</v>
      </c>
      <c r="I671" s="9">
        <v>2014</v>
      </c>
      <c r="J671" s="14">
        <v>42.9</v>
      </c>
      <c r="K671" s="15">
        <v>87</v>
      </c>
    </row>
    <row r="672" spans="1:11" x14ac:dyDescent="0.25">
      <c r="A672" s="2" t="s">
        <v>722</v>
      </c>
      <c r="B672" s="2" t="s">
        <v>29</v>
      </c>
      <c r="C672" s="2" t="s">
        <v>34</v>
      </c>
      <c r="D672" s="2" t="s">
        <v>31</v>
      </c>
      <c r="E672" s="12">
        <v>3.6</v>
      </c>
      <c r="F672" s="4">
        <v>45572</v>
      </c>
      <c r="G672" s="5">
        <v>2024</v>
      </c>
      <c r="H672" s="3" t="s">
        <v>23</v>
      </c>
      <c r="I672" s="5">
        <v>2014</v>
      </c>
      <c r="J672" s="12">
        <v>26.3</v>
      </c>
      <c r="K672" s="13">
        <v>66</v>
      </c>
    </row>
    <row r="673" spans="1:11" x14ac:dyDescent="0.25">
      <c r="A673" s="6" t="s">
        <v>723</v>
      </c>
      <c r="B673" s="6" t="s">
        <v>33</v>
      </c>
      <c r="C673" s="6" t="s">
        <v>18</v>
      </c>
      <c r="D673" s="6" t="s">
        <v>26</v>
      </c>
      <c r="E673" s="14">
        <v>25.4</v>
      </c>
      <c r="F673" s="8">
        <v>45572</v>
      </c>
      <c r="G673" s="9">
        <v>2024</v>
      </c>
      <c r="H673" s="7" t="s">
        <v>65</v>
      </c>
      <c r="I673" s="9">
        <v>2019</v>
      </c>
      <c r="J673" s="14">
        <v>125.5</v>
      </c>
      <c r="K673" s="15">
        <v>495</v>
      </c>
    </row>
    <row r="674" spans="1:11" x14ac:dyDescent="0.25">
      <c r="A674" s="2" t="s">
        <v>724</v>
      </c>
      <c r="B674" s="2" t="s">
        <v>29</v>
      </c>
      <c r="C674" s="2" t="s">
        <v>63</v>
      </c>
      <c r="D674" s="2" t="s">
        <v>31</v>
      </c>
      <c r="E674" s="12">
        <v>3.6</v>
      </c>
      <c r="F674" s="4">
        <v>45574</v>
      </c>
      <c r="G674" s="5">
        <v>2024</v>
      </c>
      <c r="H674" s="3" t="s">
        <v>123</v>
      </c>
      <c r="I674" s="5">
        <v>2012</v>
      </c>
      <c r="J674" s="12">
        <v>31.5</v>
      </c>
      <c r="K674" s="13">
        <v>75</v>
      </c>
    </row>
    <row r="675" spans="1:11" x14ac:dyDescent="0.25">
      <c r="A675" s="6" t="s">
        <v>725</v>
      </c>
      <c r="B675" s="6" t="s">
        <v>12</v>
      </c>
      <c r="C675" s="6" t="s">
        <v>18</v>
      </c>
      <c r="D675" s="6" t="s">
        <v>14</v>
      </c>
      <c r="E675" s="14">
        <v>8.1</v>
      </c>
      <c r="F675" s="8">
        <v>45576</v>
      </c>
      <c r="G675" s="9">
        <v>2024</v>
      </c>
      <c r="H675" s="7" t="s">
        <v>53</v>
      </c>
      <c r="I675" s="9">
        <v>2013</v>
      </c>
      <c r="J675" s="14">
        <v>45.1</v>
      </c>
      <c r="K675" s="15">
        <v>144</v>
      </c>
    </row>
    <row r="676" spans="1:11" x14ac:dyDescent="0.25">
      <c r="A676" s="2" t="s">
        <v>726</v>
      </c>
      <c r="B676" s="2" t="s">
        <v>22</v>
      </c>
      <c r="C676" s="2" t="s">
        <v>18</v>
      </c>
      <c r="D676" s="2" t="s">
        <v>14</v>
      </c>
      <c r="E676" s="12">
        <v>7.6</v>
      </c>
      <c r="F676" s="4">
        <v>45577</v>
      </c>
      <c r="G676" s="5">
        <v>2024</v>
      </c>
      <c r="H676" s="3" t="s">
        <v>27</v>
      </c>
      <c r="I676" s="5">
        <v>2023</v>
      </c>
      <c r="J676" s="12">
        <v>59.9</v>
      </c>
      <c r="K676" s="13">
        <v>163</v>
      </c>
    </row>
    <row r="677" spans="1:11" x14ac:dyDescent="0.25">
      <c r="A677" s="6" t="s">
        <v>727</v>
      </c>
      <c r="B677" s="6" t="s">
        <v>39</v>
      </c>
      <c r="C677" s="6" t="s">
        <v>18</v>
      </c>
      <c r="D677" s="6" t="s">
        <v>31</v>
      </c>
      <c r="E677" s="14">
        <v>1.2</v>
      </c>
      <c r="F677" s="8">
        <v>45577</v>
      </c>
      <c r="G677" s="9">
        <v>2024</v>
      </c>
      <c r="H677" s="7" t="s">
        <v>23</v>
      </c>
      <c r="I677" s="9">
        <v>2017</v>
      </c>
      <c r="J677" s="14">
        <v>9.4</v>
      </c>
      <c r="K677" s="15">
        <v>23</v>
      </c>
    </row>
    <row r="678" spans="1:11" x14ac:dyDescent="0.25">
      <c r="A678" s="2" t="s">
        <v>728</v>
      </c>
      <c r="B678" s="2" t="s">
        <v>22</v>
      </c>
      <c r="C678" s="2" t="s">
        <v>34</v>
      </c>
      <c r="D678" s="2" t="s">
        <v>14</v>
      </c>
      <c r="E678" s="12">
        <v>4.4000000000000004</v>
      </c>
      <c r="F678" s="4">
        <v>45579</v>
      </c>
      <c r="G678" s="5">
        <v>2024</v>
      </c>
      <c r="H678" s="3" t="s">
        <v>58</v>
      </c>
      <c r="I678" s="5">
        <v>2022</v>
      </c>
      <c r="J678" s="12">
        <v>32.200000000000003</v>
      </c>
      <c r="K678" s="13">
        <v>55</v>
      </c>
    </row>
    <row r="679" spans="1:11" x14ac:dyDescent="0.25">
      <c r="A679" s="6" t="s">
        <v>729</v>
      </c>
      <c r="B679" s="6" t="s">
        <v>42</v>
      </c>
      <c r="C679" s="6" t="s">
        <v>13</v>
      </c>
      <c r="D679" s="6" t="s">
        <v>14</v>
      </c>
      <c r="E679" s="14">
        <v>7.2</v>
      </c>
      <c r="F679" s="8">
        <v>45579</v>
      </c>
      <c r="G679" s="9">
        <v>2024</v>
      </c>
      <c r="H679" s="7" t="s">
        <v>55</v>
      </c>
      <c r="I679" s="9">
        <v>2017</v>
      </c>
      <c r="J679" s="14">
        <v>57</v>
      </c>
      <c r="K679" s="15">
        <v>109</v>
      </c>
    </row>
    <row r="680" spans="1:11" x14ac:dyDescent="0.25">
      <c r="A680" s="2" t="s">
        <v>730</v>
      </c>
      <c r="B680" s="2" t="s">
        <v>22</v>
      </c>
      <c r="C680" s="2" t="s">
        <v>18</v>
      </c>
      <c r="D680" s="2" t="s">
        <v>31</v>
      </c>
      <c r="E680" s="12">
        <v>2.7</v>
      </c>
      <c r="F680" s="4">
        <v>45580</v>
      </c>
      <c r="G680" s="5">
        <v>2024</v>
      </c>
      <c r="H680" s="3" t="s">
        <v>50</v>
      </c>
      <c r="I680" s="5">
        <v>2012</v>
      </c>
      <c r="J680" s="12">
        <v>17.7</v>
      </c>
      <c r="K680" s="13">
        <v>35</v>
      </c>
    </row>
    <row r="681" spans="1:11" x14ac:dyDescent="0.25">
      <c r="A681" s="6" t="s">
        <v>731</v>
      </c>
      <c r="B681" s="6" t="s">
        <v>47</v>
      </c>
      <c r="C681" s="6" t="s">
        <v>18</v>
      </c>
      <c r="D681" s="6" t="s">
        <v>19</v>
      </c>
      <c r="E681" s="14">
        <v>66.3</v>
      </c>
      <c r="F681" s="8">
        <v>45583</v>
      </c>
      <c r="G681" s="9">
        <v>2024</v>
      </c>
      <c r="H681" s="7" t="s">
        <v>53</v>
      </c>
      <c r="I681" s="9">
        <v>2018</v>
      </c>
      <c r="J681" s="14">
        <v>577.20000000000005</v>
      </c>
      <c r="K681" s="15">
        <v>1376</v>
      </c>
    </row>
    <row r="682" spans="1:11" x14ac:dyDescent="0.25">
      <c r="A682" s="2" t="s">
        <v>732</v>
      </c>
      <c r="B682" s="2" t="s">
        <v>67</v>
      </c>
      <c r="C682" s="2" t="s">
        <v>63</v>
      </c>
      <c r="D682" s="2" t="s">
        <v>14</v>
      </c>
      <c r="E682" s="12">
        <v>8.5</v>
      </c>
      <c r="F682" s="4">
        <v>45583</v>
      </c>
      <c r="G682" s="5">
        <v>2024</v>
      </c>
      <c r="H682" s="3" t="s">
        <v>45</v>
      </c>
      <c r="I682" s="5">
        <v>2013</v>
      </c>
      <c r="J682" s="12">
        <v>43.6</v>
      </c>
      <c r="K682" s="13">
        <v>122</v>
      </c>
    </row>
    <row r="683" spans="1:11" x14ac:dyDescent="0.25">
      <c r="A683" s="6" t="s">
        <v>733</v>
      </c>
      <c r="B683" s="6" t="s">
        <v>47</v>
      </c>
      <c r="C683" s="6" t="s">
        <v>34</v>
      </c>
      <c r="D683" s="6" t="s">
        <v>31</v>
      </c>
      <c r="E683" s="14">
        <v>2.8</v>
      </c>
      <c r="F683" s="8">
        <v>45583</v>
      </c>
      <c r="G683" s="9">
        <v>2024</v>
      </c>
      <c r="H683" s="7" t="s">
        <v>55</v>
      </c>
      <c r="I683" s="9">
        <v>2021</v>
      </c>
      <c r="J683" s="14">
        <v>14</v>
      </c>
      <c r="K683" s="15">
        <v>34</v>
      </c>
    </row>
    <row r="684" spans="1:11" x14ac:dyDescent="0.25">
      <c r="A684" s="2" t="s">
        <v>734</v>
      </c>
      <c r="B684" s="2" t="s">
        <v>17</v>
      </c>
      <c r="C684" s="2" t="s">
        <v>34</v>
      </c>
      <c r="D684" s="2" t="s">
        <v>14</v>
      </c>
      <c r="E684" s="12">
        <v>9.6</v>
      </c>
      <c r="F684" s="4">
        <v>45584</v>
      </c>
      <c r="G684" s="5">
        <v>2024</v>
      </c>
      <c r="H684" s="3" t="s">
        <v>43</v>
      </c>
      <c r="I684" s="5">
        <v>2024</v>
      </c>
      <c r="J684" s="12">
        <v>69.099999999999994</v>
      </c>
      <c r="K684" s="13">
        <v>110</v>
      </c>
    </row>
    <row r="685" spans="1:11" x14ac:dyDescent="0.25">
      <c r="A685" s="6" t="s">
        <v>735</v>
      </c>
      <c r="B685" s="6" t="s">
        <v>42</v>
      </c>
      <c r="C685" s="6" t="s">
        <v>13</v>
      </c>
      <c r="D685" s="6" t="s">
        <v>14</v>
      </c>
      <c r="E685" s="14">
        <v>10.199999999999999</v>
      </c>
      <c r="F685" s="8">
        <v>45584</v>
      </c>
      <c r="G685" s="9">
        <v>2024</v>
      </c>
      <c r="H685" s="7" t="s">
        <v>27</v>
      </c>
      <c r="I685" s="9">
        <v>2018</v>
      </c>
      <c r="J685" s="14">
        <v>42.5</v>
      </c>
      <c r="K685" s="15">
        <v>91</v>
      </c>
    </row>
    <row r="686" spans="1:11" x14ac:dyDescent="0.25">
      <c r="A686" s="2" t="s">
        <v>736</v>
      </c>
      <c r="B686" s="2" t="s">
        <v>47</v>
      </c>
      <c r="C686" s="2" t="s">
        <v>18</v>
      </c>
      <c r="D686" s="2" t="s">
        <v>31</v>
      </c>
      <c r="E686" s="12">
        <v>0.8</v>
      </c>
      <c r="F686" s="4">
        <v>45586</v>
      </c>
      <c r="G686" s="5">
        <v>2024</v>
      </c>
      <c r="H686" s="3" t="s">
        <v>53</v>
      </c>
      <c r="I686" s="5">
        <v>2013</v>
      </c>
      <c r="J686" s="12">
        <v>4</v>
      </c>
      <c r="K686" s="13">
        <v>14</v>
      </c>
    </row>
    <row r="687" spans="1:11" x14ac:dyDescent="0.25">
      <c r="A687" s="6" t="s">
        <v>737</v>
      </c>
      <c r="B687" s="6" t="s">
        <v>47</v>
      </c>
      <c r="C687" s="6" t="s">
        <v>18</v>
      </c>
      <c r="D687" s="6" t="s">
        <v>31</v>
      </c>
      <c r="E687" s="14">
        <v>2.2999999999999998</v>
      </c>
      <c r="F687" s="8">
        <v>45601</v>
      </c>
      <c r="G687" s="9">
        <v>2024</v>
      </c>
      <c r="H687" s="7" t="s">
        <v>45</v>
      </c>
      <c r="I687" s="9">
        <v>2016</v>
      </c>
      <c r="J687" s="14">
        <v>15.3</v>
      </c>
      <c r="K687" s="15">
        <v>26</v>
      </c>
    </row>
    <row r="688" spans="1:11" x14ac:dyDescent="0.25">
      <c r="A688" s="2" t="s">
        <v>738</v>
      </c>
      <c r="B688" s="2" t="s">
        <v>33</v>
      </c>
      <c r="C688" s="2" t="s">
        <v>34</v>
      </c>
      <c r="D688" s="2" t="s">
        <v>31</v>
      </c>
      <c r="E688" s="12">
        <v>1.6</v>
      </c>
      <c r="F688" s="4">
        <v>45603</v>
      </c>
      <c r="G688" s="5">
        <v>2024</v>
      </c>
      <c r="H688" s="3" t="s">
        <v>65</v>
      </c>
      <c r="I688" s="5">
        <v>2020</v>
      </c>
      <c r="J688" s="12">
        <v>9.6</v>
      </c>
      <c r="K688" s="13">
        <v>15</v>
      </c>
    </row>
    <row r="689" spans="1:11" x14ac:dyDescent="0.25">
      <c r="A689" s="6" t="s">
        <v>739</v>
      </c>
      <c r="B689" s="6" t="s">
        <v>22</v>
      </c>
      <c r="C689" s="6" t="s">
        <v>34</v>
      </c>
      <c r="D689" s="6" t="s">
        <v>26</v>
      </c>
      <c r="E689" s="14">
        <v>35.6</v>
      </c>
      <c r="F689" s="8">
        <v>45607</v>
      </c>
      <c r="G689" s="9">
        <v>2024</v>
      </c>
      <c r="H689" s="7" t="s">
        <v>58</v>
      </c>
      <c r="I689" s="9">
        <v>2019</v>
      </c>
      <c r="J689" s="14">
        <v>172.7</v>
      </c>
      <c r="K689" s="15">
        <v>676</v>
      </c>
    </row>
    <row r="690" spans="1:11" x14ac:dyDescent="0.25">
      <c r="A690" s="2" t="s">
        <v>740</v>
      </c>
      <c r="B690" s="2" t="s">
        <v>17</v>
      </c>
      <c r="C690" s="2" t="s">
        <v>34</v>
      </c>
      <c r="D690" s="2" t="s">
        <v>19</v>
      </c>
      <c r="E690" s="12">
        <v>83.1</v>
      </c>
      <c r="F690" s="4">
        <v>45609</v>
      </c>
      <c r="G690" s="5">
        <v>2024</v>
      </c>
      <c r="H690" s="3" t="s">
        <v>45</v>
      </c>
      <c r="I690" s="5">
        <v>2016</v>
      </c>
      <c r="J690" s="12">
        <v>763.1</v>
      </c>
      <c r="K690" s="13">
        <v>2847</v>
      </c>
    </row>
    <row r="691" spans="1:11" x14ac:dyDescent="0.25">
      <c r="A691" s="6" t="s">
        <v>741</v>
      </c>
      <c r="B691" s="6" t="s">
        <v>33</v>
      </c>
      <c r="C691" s="6" t="s">
        <v>63</v>
      </c>
      <c r="D691" s="6" t="s">
        <v>35</v>
      </c>
      <c r="E691" s="14">
        <v>145.9</v>
      </c>
      <c r="F691" s="8">
        <v>45612</v>
      </c>
      <c r="G691" s="9">
        <v>2024</v>
      </c>
      <c r="H691" s="7" t="s">
        <v>37</v>
      </c>
      <c r="I691" s="9">
        <v>2018</v>
      </c>
      <c r="J691" s="14">
        <v>1400.7</v>
      </c>
      <c r="K691" s="15">
        <v>3348</v>
      </c>
    </row>
    <row r="692" spans="1:11" x14ac:dyDescent="0.25">
      <c r="A692" s="2" t="s">
        <v>742</v>
      </c>
      <c r="B692" s="2" t="s">
        <v>42</v>
      </c>
      <c r="C692" s="2" t="s">
        <v>34</v>
      </c>
      <c r="D692" s="2" t="s">
        <v>14</v>
      </c>
      <c r="E692" s="12">
        <v>12.3</v>
      </c>
      <c r="F692" s="4">
        <v>45617</v>
      </c>
      <c r="G692" s="5">
        <v>2024</v>
      </c>
      <c r="H692" s="3" t="s">
        <v>65</v>
      </c>
      <c r="I692" s="5">
        <v>2015</v>
      </c>
      <c r="J692" s="12">
        <v>48.5</v>
      </c>
      <c r="K692" s="13">
        <v>118</v>
      </c>
    </row>
    <row r="693" spans="1:11" x14ac:dyDescent="0.25">
      <c r="A693" s="6" t="s">
        <v>743</v>
      </c>
      <c r="B693" s="6" t="s">
        <v>76</v>
      </c>
      <c r="C693" s="6" t="s">
        <v>18</v>
      </c>
      <c r="D693" s="6" t="s">
        <v>14</v>
      </c>
      <c r="E693" s="14">
        <v>18.399999999999999</v>
      </c>
      <c r="F693" s="8">
        <v>45624</v>
      </c>
      <c r="G693" s="9">
        <v>2024</v>
      </c>
      <c r="H693" s="7" t="s">
        <v>27</v>
      </c>
      <c r="I693" s="9">
        <v>2018</v>
      </c>
      <c r="J693" s="14">
        <v>128.1</v>
      </c>
      <c r="K693" s="15">
        <v>413</v>
      </c>
    </row>
    <row r="694" spans="1:11" x14ac:dyDescent="0.25">
      <c r="A694" s="2" t="s">
        <v>744</v>
      </c>
      <c r="B694" s="2" t="s">
        <v>22</v>
      </c>
      <c r="C694" s="2" t="s">
        <v>13</v>
      </c>
      <c r="D694" s="2" t="s">
        <v>31</v>
      </c>
      <c r="E694" s="12">
        <v>2.2999999999999998</v>
      </c>
      <c r="F694" s="4">
        <v>45633</v>
      </c>
      <c r="G694" s="5">
        <v>2024</v>
      </c>
      <c r="H694" s="3" t="s">
        <v>55</v>
      </c>
      <c r="I694" s="5">
        <v>2024</v>
      </c>
      <c r="J694" s="12">
        <v>11.6</v>
      </c>
      <c r="K694" s="13">
        <v>43</v>
      </c>
    </row>
    <row r="695" spans="1:11" x14ac:dyDescent="0.25">
      <c r="A695" s="6" t="s">
        <v>745</v>
      </c>
      <c r="B695" s="6" t="s">
        <v>33</v>
      </c>
      <c r="C695" s="6" t="s">
        <v>18</v>
      </c>
      <c r="D695" s="6" t="s">
        <v>35</v>
      </c>
      <c r="E695" s="14">
        <v>201.8</v>
      </c>
      <c r="F695" s="8">
        <v>45633</v>
      </c>
      <c r="G695" s="9">
        <v>2024</v>
      </c>
      <c r="H695" s="7" t="s">
        <v>58</v>
      </c>
      <c r="I695" s="9">
        <v>2022</v>
      </c>
      <c r="J695" s="14">
        <v>1993.6</v>
      </c>
      <c r="K695" s="15">
        <v>7219</v>
      </c>
    </row>
    <row r="696" spans="1:11" x14ac:dyDescent="0.25">
      <c r="A696" s="2" t="s">
        <v>746</v>
      </c>
      <c r="B696" s="2" t="s">
        <v>104</v>
      </c>
      <c r="C696" s="2" t="s">
        <v>13</v>
      </c>
      <c r="D696" s="2" t="s">
        <v>31</v>
      </c>
      <c r="E696" s="12">
        <v>2.2000000000000002</v>
      </c>
      <c r="F696" s="4">
        <v>45634</v>
      </c>
      <c r="G696" s="5">
        <v>2024</v>
      </c>
      <c r="H696" s="3" t="s">
        <v>43</v>
      </c>
      <c r="I696" s="5">
        <v>2024</v>
      </c>
      <c r="J696" s="12">
        <v>12.7</v>
      </c>
      <c r="K696" s="13">
        <v>39</v>
      </c>
    </row>
    <row r="697" spans="1:11" x14ac:dyDescent="0.25">
      <c r="A697" s="6" t="s">
        <v>747</v>
      </c>
      <c r="B697" s="6" t="s">
        <v>39</v>
      </c>
      <c r="C697" s="6" t="s">
        <v>34</v>
      </c>
      <c r="D697" s="6" t="s">
        <v>31</v>
      </c>
      <c r="E697" s="14">
        <v>1.6</v>
      </c>
      <c r="F697" s="8">
        <v>45635</v>
      </c>
      <c r="G697" s="9">
        <v>2024</v>
      </c>
      <c r="H697" s="7" t="s">
        <v>43</v>
      </c>
      <c r="I697" s="9">
        <v>2012</v>
      </c>
      <c r="J697" s="14">
        <v>7</v>
      </c>
      <c r="K697" s="15">
        <v>12</v>
      </c>
    </row>
    <row r="698" spans="1:11" x14ac:dyDescent="0.25">
      <c r="A698" s="2" t="s">
        <v>748</v>
      </c>
      <c r="B698" s="2" t="s">
        <v>29</v>
      </c>
      <c r="C698" s="2" t="s">
        <v>63</v>
      </c>
      <c r="D698" s="2" t="s">
        <v>14</v>
      </c>
      <c r="E698" s="12">
        <v>9.9</v>
      </c>
      <c r="F698" s="4">
        <v>45639</v>
      </c>
      <c r="G698" s="5">
        <v>2024</v>
      </c>
      <c r="H698" s="3" t="s">
        <v>53</v>
      </c>
      <c r="I698" s="5">
        <v>2020</v>
      </c>
      <c r="J698" s="12">
        <v>56.1</v>
      </c>
      <c r="K698" s="13">
        <v>193</v>
      </c>
    </row>
    <row r="699" spans="1:11" x14ac:dyDescent="0.25">
      <c r="A699" s="6" t="s">
        <v>749</v>
      </c>
      <c r="B699" s="6" t="s">
        <v>42</v>
      </c>
      <c r="C699" s="6" t="s">
        <v>34</v>
      </c>
      <c r="D699" s="6" t="s">
        <v>35</v>
      </c>
      <c r="E699" s="14">
        <v>342.7</v>
      </c>
      <c r="F699" s="8">
        <v>45643</v>
      </c>
      <c r="G699" s="9">
        <v>2024</v>
      </c>
      <c r="H699" s="7" t="s">
        <v>107</v>
      </c>
      <c r="I699" s="9">
        <v>2022</v>
      </c>
      <c r="J699" s="14">
        <v>3721.5</v>
      </c>
      <c r="K699" s="15">
        <v>6659</v>
      </c>
    </row>
    <row r="700" spans="1:11" x14ac:dyDescent="0.25">
      <c r="A700" s="2" t="s">
        <v>750</v>
      </c>
      <c r="B700" s="2" t="s">
        <v>29</v>
      </c>
      <c r="C700" s="2" t="s">
        <v>40</v>
      </c>
      <c r="D700" s="2" t="s">
        <v>14</v>
      </c>
      <c r="E700" s="12">
        <v>18.8</v>
      </c>
      <c r="F700" s="4">
        <v>45649</v>
      </c>
      <c r="G700" s="5">
        <v>2024</v>
      </c>
      <c r="H700" s="3" t="s">
        <v>55</v>
      </c>
      <c r="I700" s="5">
        <v>2015</v>
      </c>
      <c r="J700" s="12">
        <v>92.1</v>
      </c>
      <c r="K700" s="13">
        <v>185</v>
      </c>
    </row>
    <row r="701" spans="1:11" x14ac:dyDescent="0.25">
      <c r="A701" s="6" t="s">
        <v>751</v>
      </c>
      <c r="B701" s="6" t="s">
        <v>17</v>
      </c>
      <c r="C701" s="6" t="s">
        <v>13</v>
      </c>
      <c r="D701" s="6" t="s">
        <v>26</v>
      </c>
      <c r="E701" s="14">
        <v>38.1</v>
      </c>
      <c r="F701" s="8">
        <v>45657</v>
      </c>
      <c r="G701" s="9">
        <v>2024</v>
      </c>
      <c r="H701" s="7" t="s">
        <v>27</v>
      </c>
      <c r="I701" s="9">
        <v>2019</v>
      </c>
      <c r="J701" s="14">
        <v>267</v>
      </c>
      <c r="K701" s="15">
        <v>884</v>
      </c>
    </row>
  </sheetData>
  <autoFilter ref="A1:K701"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A8E09-4846-4189-BB0E-DDCA1832D096}">
  <sheetPr>
    <pageSetUpPr fitToPage="1"/>
  </sheetPr>
  <dimension ref="B2:W28"/>
  <sheetViews>
    <sheetView showGridLines="0" tabSelected="1" topLeftCell="B13" zoomScale="115" zoomScaleNormal="115" workbookViewId="0">
      <selection activeCell="W7" sqref="W7"/>
      <pivotSelection pane="bottomRight" showHeader="1" extendable="1" activeRow="6" activeCol="22" previousRow="6" previousCol="22" click="1" r:id="rId3">
        <pivotArea dataOnly="0" outline="0" axis="axisValues" fieldPosition="0"/>
      </pivotSelection>
    </sheetView>
  </sheetViews>
  <sheetFormatPr defaultRowHeight="15" x14ac:dyDescent="0.25"/>
  <cols>
    <col min="1" max="1" width="9.140625" style="26"/>
    <col min="2" max="2" width="16.85546875" style="26" bestFit="1" customWidth="1"/>
    <col min="3" max="3" width="13.140625" style="26" bestFit="1" customWidth="1"/>
    <col min="4" max="4" width="9.140625" style="26"/>
    <col min="5" max="5" width="5.85546875" style="26" bestFit="1" customWidth="1"/>
    <col min="6" max="6" width="16.140625" style="26" bestFit="1" customWidth="1"/>
    <col min="7" max="7" width="10.140625" style="26" bestFit="1" customWidth="1"/>
    <col min="8" max="9" width="8.28515625" style="26" bestFit="1" customWidth="1"/>
    <col min="10" max="10" width="15.28515625" style="26" bestFit="1" customWidth="1"/>
    <col min="11" max="11" width="10.140625" style="26" bestFit="1" customWidth="1"/>
    <col min="12" max="12" width="11.5703125" style="26" bestFit="1" customWidth="1"/>
    <col min="13" max="13" width="9.140625" style="26"/>
    <col min="14" max="14" width="14.7109375" style="26" bestFit="1" customWidth="1"/>
    <col min="15" max="15" width="10.140625" style="26" bestFit="1" customWidth="1"/>
    <col min="16" max="16" width="9.140625" style="26"/>
    <col min="17" max="17" width="8.140625" style="26" bestFit="1" customWidth="1"/>
    <col min="18" max="18" width="25" style="26" bestFit="1" customWidth="1"/>
    <col min="19" max="19" width="6" style="26" bestFit="1" customWidth="1"/>
    <col min="20" max="21" width="9.140625" style="26"/>
    <col min="22" max="22" width="22.28515625" style="26" bestFit="1" customWidth="1"/>
    <col min="23" max="23" width="9" style="26" bestFit="1" customWidth="1"/>
    <col min="24" max="16384" width="9.140625" style="26"/>
  </cols>
  <sheetData>
    <row r="2" spans="2:23" x14ac:dyDescent="0.25">
      <c r="B2" s="45" t="s">
        <v>774</v>
      </c>
      <c r="C2" s="46"/>
      <c r="D2" s="46"/>
      <c r="E2" s="46"/>
      <c r="F2" s="46"/>
      <c r="G2" s="46"/>
      <c r="H2" s="46"/>
      <c r="I2" s="46"/>
      <c r="J2" s="46"/>
      <c r="K2" s="46"/>
      <c r="L2" s="46"/>
      <c r="M2" s="46"/>
    </row>
    <row r="3" spans="2:23" x14ac:dyDescent="0.25">
      <c r="B3" s="46"/>
      <c r="C3" s="46"/>
      <c r="D3" s="46"/>
      <c r="E3" s="46"/>
      <c r="F3" s="46"/>
      <c r="G3" s="46"/>
      <c r="H3" s="46"/>
      <c r="I3" s="46"/>
      <c r="J3" s="46"/>
      <c r="K3" s="46"/>
      <c r="L3" s="46"/>
      <c r="M3" s="46"/>
    </row>
    <row r="4" spans="2:23" x14ac:dyDescent="0.25">
      <c r="B4" s="31"/>
    </row>
    <row r="6" spans="2:23" x14ac:dyDescent="0.25">
      <c r="B6" s="32" t="s">
        <v>779</v>
      </c>
      <c r="F6" s="32" t="s">
        <v>775</v>
      </c>
      <c r="J6" s="32" t="s">
        <v>780</v>
      </c>
      <c r="N6" s="32" t="s">
        <v>777</v>
      </c>
      <c r="R6" s="32" t="s">
        <v>778</v>
      </c>
      <c r="V6" s="32" t="s">
        <v>776</v>
      </c>
    </row>
    <row r="7" spans="2:23" x14ac:dyDescent="0.25">
      <c r="B7" s="47" t="s">
        <v>1</v>
      </c>
      <c r="C7" s="47" t="s">
        <v>753</v>
      </c>
      <c r="F7" s="49" t="s">
        <v>3</v>
      </c>
      <c r="G7" s="49" t="s">
        <v>754</v>
      </c>
      <c r="J7" s="49" t="s">
        <v>783</v>
      </c>
      <c r="K7" s="49" t="s">
        <v>754</v>
      </c>
      <c r="N7" s="49" t="s">
        <v>2</v>
      </c>
      <c r="O7" s="49" t="s">
        <v>754</v>
      </c>
      <c r="R7" s="49" t="s">
        <v>781</v>
      </c>
      <c r="S7" s="49" t="s">
        <v>755</v>
      </c>
      <c r="V7" s="49" t="s">
        <v>782</v>
      </c>
      <c r="W7" s="49" t="s">
        <v>754</v>
      </c>
    </row>
    <row r="8" spans="2:23" x14ac:dyDescent="0.25">
      <c r="B8" s="27" t="s">
        <v>42</v>
      </c>
      <c r="C8" s="28">
        <v>6563.1</v>
      </c>
      <c r="F8" s="27" t="s">
        <v>31</v>
      </c>
      <c r="G8" s="28">
        <v>517.90000000000009</v>
      </c>
      <c r="J8" s="29">
        <v>2019</v>
      </c>
      <c r="K8" s="28">
        <v>5156.5999999999995</v>
      </c>
      <c r="N8" s="27" t="s">
        <v>18</v>
      </c>
      <c r="O8" s="28">
        <v>8507.6</v>
      </c>
      <c r="R8" s="27" t="s">
        <v>33</v>
      </c>
      <c r="S8" s="48">
        <v>102</v>
      </c>
      <c r="V8" s="27" t="s">
        <v>282</v>
      </c>
      <c r="W8" s="28">
        <v>494.1</v>
      </c>
    </row>
    <row r="9" spans="2:23" x14ac:dyDescent="0.25">
      <c r="B9" s="27" t="s">
        <v>33</v>
      </c>
      <c r="C9" s="28">
        <v>5497.5000000000036</v>
      </c>
      <c r="F9" s="27" t="s">
        <v>14</v>
      </c>
      <c r="G9" s="28">
        <v>2068.8000000000002</v>
      </c>
      <c r="J9" s="29">
        <v>2020</v>
      </c>
      <c r="K9" s="28">
        <v>6919.7999999999975</v>
      </c>
      <c r="N9" s="27" t="s">
        <v>34</v>
      </c>
      <c r="O9" s="28">
        <v>7273.8</v>
      </c>
      <c r="R9" s="27" t="s">
        <v>29</v>
      </c>
      <c r="S9" s="48">
        <v>98</v>
      </c>
      <c r="V9" s="27" t="s">
        <v>122</v>
      </c>
      <c r="W9" s="28">
        <v>459.9</v>
      </c>
    </row>
    <row r="10" spans="2:23" x14ac:dyDescent="0.25">
      <c r="B10" s="27" t="s">
        <v>17</v>
      </c>
      <c r="C10" s="28">
        <v>4111.7</v>
      </c>
      <c r="F10" s="27" t="s">
        <v>26</v>
      </c>
      <c r="G10" s="28">
        <v>4090.9000000000005</v>
      </c>
      <c r="J10" s="29">
        <v>2021</v>
      </c>
      <c r="K10" s="28">
        <v>5074.8</v>
      </c>
      <c r="N10" s="27" t="s">
        <v>13</v>
      </c>
      <c r="O10" s="28">
        <v>5814.7000000000007</v>
      </c>
      <c r="R10" s="27" t="s">
        <v>42</v>
      </c>
      <c r="S10" s="48">
        <v>89</v>
      </c>
      <c r="V10" s="27" t="s">
        <v>639</v>
      </c>
      <c r="W10" s="28">
        <v>403.8</v>
      </c>
    </row>
    <row r="11" spans="2:23" x14ac:dyDescent="0.25">
      <c r="B11" s="27" t="s">
        <v>29</v>
      </c>
      <c r="C11" s="28">
        <v>3852.8999999999996</v>
      </c>
      <c r="F11" s="27" t="s">
        <v>19</v>
      </c>
      <c r="G11" s="28">
        <v>8294.6</v>
      </c>
      <c r="J11" s="29">
        <v>2022</v>
      </c>
      <c r="K11" s="28">
        <v>4989.1999999999989</v>
      </c>
      <c r="N11" s="27" t="s">
        <v>63</v>
      </c>
      <c r="O11" s="28">
        <v>3398.5999999999995</v>
      </c>
      <c r="R11" s="27" t="s">
        <v>17</v>
      </c>
      <c r="S11" s="48">
        <v>79</v>
      </c>
      <c r="V11" s="27" t="s">
        <v>105</v>
      </c>
      <c r="W11" s="28">
        <v>391.4</v>
      </c>
    </row>
    <row r="12" spans="2:23" x14ac:dyDescent="0.25">
      <c r="B12" s="27" t="s">
        <v>47</v>
      </c>
      <c r="C12" s="28">
        <v>2384.8000000000011</v>
      </c>
      <c r="F12" s="27" t="s">
        <v>35</v>
      </c>
      <c r="G12" s="28">
        <v>16650.7</v>
      </c>
      <c r="J12" s="29">
        <v>2023</v>
      </c>
      <c r="K12" s="28">
        <v>5079.4000000000005</v>
      </c>
      <c r="N12" s="27" t="s">
        <v>25</v>
      </c>
      <c r="O12" s="28">
        <v>2163.3000000000006</v>
      </c>
      <c r="R12" s="27" t="s">
        <v>47</v>
      </c>
      <c r="S12" s="48">
        <v>67</v>
      </c>
      <c r="V12" s="27" t="s">
        <v>362</v>
      </c>
      <c r="W12" s="28">
        <v>385.5</v>
      </c>
    </row>
    <row r="13" spans="2:23" x14ac:dyDescent="0.25">
      <c r="B13" s="27" t="s">
        <v>12</v>
      </c>
      <c r="C13" s="28">
        <v>2072.2999999999997</v>
      </c>
      <c r="F13" s="27" t="s">
        <v>752</v>
      </c>
      <c r="G13" s="28">
        <v>31622.9</v>
      </c>
      <c r="J13" s="29">
        <v>2024</v>
      </c>
      <c r="K13" s="28">
        <v>4403.1000000000004</v>
      </c>
      <c r="N13" s="27" t="s">
        <v>48</v>
      </c>
      <c r="O13" s="28">
        <v>1643.1000000000001</v>
      </c>
      <c r="R13" s="27" t="s">
        <v>12</v>
      </c>
      <c r="S13" s="48">
        <v>56</v>
      </c>
      <c r="V13" s="27" t="s">
        <v>165</v>
      </c>
      <c r="W13" s="28">
        <v>382.3</v>
      </c>
    </row>
    <row r="14" spans="2:23" x14ac:dyDescent="0.25">
      <c r="B14" s="27" t="s">
        <v>22</v>
      </c>
      <c r="C14" s="28">
        <v>1746.8000000000002</v>
      </c>
      <c r="J14" s="29" t="s">
        <v>752</v>
      </c>
      <c r="K14" s="28">
        <v>31622.899999999994</v>
      </c>
      <c r="N14" s="27" t="s">
        <v>71</v>
      </c>
      <c r="O14" s="28">
        <v>1490</v>
      </c>
      <c r="R14" s="27" t="s">
        <v>76</v>
      </c>
      <c r="S14" s="48">
        <v>50</v>
      </c>
      <c r="V14" s="27" t="s">
        <v>220</v>
      </c>
      <c r="W14" s="28">
        <v>381.5</v>
      </c>
    </row>
    <row r="15" spans="2:23" x14ac:dyDescent="0.25">
      <c r="B15" s="27" t="s">
        <v>76</v>
      </c>
      <c r="C15" s="28">
        <v>1536.5000000000005</v>
      </c>
      <c r="N15" s="27" t="s">
        <v>40</v>
      </c>
      <c r="O15" s="28">
        <v>1101.9999999999998</v>
      </c>
      <c r="R15" s="27" t="s">
        <v>22</v>
      </c>
      <c r="S15" s="48">
        <v>44</v>
      </c>
      <c r="V15" s="27" t="s">
        <v>287</v>
      </c>
      <c r="W15" s="28">
        <v>378.3</v>
      </c>
    </row>
    <row r="16" spans="2:23" x14ac:dyDescent="0.25">
      <c r="B16" s="27" t="s">
        <v>100</v>
      </c>
      <c r="C16" s="28">
        <v>1239.3999999999994</v>
      </c>
      <c r="N16" s="27" t="s">
        <v>30</v>
      </c>
      <c r="O16" s="28">
        <v>229.8</v>
      </c>
      <c r="R16" s="27" t="s">
        <v>39</v>
      </c>
      <c r="S16" s="48">
        <v>33</v>
      </c>
      <c r="V16" s="27" t="s">
        <v>32</v>
      </c>
      <c r="W16" s="28">
        <v>371.2</v>
      </c>
    </row>
    <row r="17" spans="2:23" x14ac:dyDescent="0.25">
      <c r="B17" s="27" t="s">
        <v>39</v>
      </c>
      <c r="C17" s="28">
        <v>1153.9999999999998</v>
      </c>
      <c r="N17" s="27" t="s">
        <v>752</v>
      </c>
      <c r="O17" s="28">
        <v>31622.899999999998</v>
      </c>
      <c r="R17" s="27" t="s">
        <v>100</v>
      </c>
      <c r="S17" s="48">
        <v>32</v>
      </c>
      <c r="V17" s="27" t="s">
        <v>573</v>
      </c>
      <c r="W17" s="28">
        <v>364.7</v>
      </c>
    </row>
    <row r="18" spans="2:23" x14ac:dyDescent="0.25">
      <c r="B18" s="27" t="s">
        <v>67</v>
      </c>
      <c r="C18" s="28">
        <v>757.4</v>
      </c>
      <c r="R18" s="27" t="s">
        <v>104</v>
      </c>
      <c r="S18" s="48">
        <v>30</v>
      </c>
      <c r="V18" s="27" t="s">
        <v>752</v>
      </c>
      <c r="W18" s="28">
        <v>4012.7</v>
      </c>
    </row>
    <row r="19" spans="2:23" x14ac:dyDescent="0.25">
      <c r="B19" s="27" t="s">
        <v>104</v>
      </c>
      <c r="C19" s="28">
        <v>706.50000000000011</v>
      </c>
      <c r="R19" s="27" t="s">
        <v>67</v>
      </c>
      <c r="S19" s="48">
        <v>20</v>
      </c>
    </row>
    <row r="20" spans="2:23" x14ac:dyDescent="0.25">
      <c r="B20" s="27" t="s">
        <v>752</v>
      </c>
      <c r="C20" s="28">
        <v>31622.9</v>
      </c>
      <c r="R20" s="27" t="s">
        <v>752</v>
      </c>
      <c r="S20" s="48">
        <v>700</v>
      </c>
    </row>
    <row r="25" spans="2:23" x14ac:dyDescent="0.25">
      <c r="B25" s="33"/>
    </row>
    <row r="26" spans="2:23" x14ac:dyDescent="0.25">
      <c r="B26" s="33"/>
    </row>
    <row r="27" spans="2:23" x14ac:dyDescent="0.25">
      <c r="C27" s="47" t="s">
        <v>756</v>
      </c>
      <c r="F27" s="47" t="s">
        <v>755</v>
      </c>
      <c r="I27" s="47" t="s">
        <v>757</v>
      </c>
      <c r="L27" s="47" t="s">
        <v>758</v>
      </c>
      <c r="O27" s="47" t="s">
        <v>759</v>
      </c>
      <c r="R27" s="47" t="s">
        <v>760</v>
      </c>
    </row>
    <row r="28" spans="2:23" x14ac:dyDescent="0.25">
      <c r="C28" s="28">
        <v>31622.899999999994</v>
      </c>
      <c r="F28" s="48">
        <v>700</v>
      </c>
      <c r="I28" s="28">
        <v>45.175571428571423</v>
      </c>
      <c r="L28" s="28">
        <v>225669.9</v>
      </c>
      <c r="O28" s="28">
        <v>494.1</v>
      </c>
      <c r="R28" s="30">
        <v>610612</v>
      </c>
    </row>
  </sheetData>
  <mergeCells count="1">
    <mergeCell ref="B2:M3"/>
  </mergeCells>
  <pageMargins left="0.7" right="0.7" top="0.75" bottom="0.75" header="0.3" footer="0.3"/>
  <pageSetup scale="45" orientation="landscape" r:id="rId13"/>
  <drawing r:id="rId14"/>
  <extLst>
    <ext xmlns:x14="http://schemas.microsoft.com/office/spreadsheetml/2009/9/main" uri="{A8765BA9-456A-4dab-B4F3-ACF838C121DE}">
      <x14:slicerList>
        <x14:slicer r:id="rId1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30A17-118E-4295-8694-98C54717302C}">
  <sheetPr>
    <pageSetUpPr fitToPage="1"/>
  </sheetPr>
  <dimension ref="A1:CN49"/>
  <sheetViews>
    <sheetView showGridLines="0" zoomScale="93" zoomScaleNormal="70" workbookViewId="0">
      <selection activeCell="AD56" sqref="AD56"/>
    </sheetView>
  </sheetViews>
  <sheetFormatPr defaultRowHeight="15" x14ac:dyDescent="0.25"/>
  <cols>
    <col min="1" max="92" width="2.85546875" customWidth="1"/>
  </cols>
  <sheetData>
    <row r="1" spans="1:92" ht="15" customHeight="1" x14ac:dyDescent="0.25">
      <c r="A1" s="38" t="s">
        <v>761</v>
      </c>
      <c r="B1" s="38"/>
      <c r="C1" s="38"/>
      <c r="D1" s="38"/>
      <c r="E1" s="38"/>
      <c r="F1" s="38"/>
      <c r="G1" s="38"/>
      <c r="H1" s="38"/>
      <c r="I1" s="38"/>
      <c r="J1" s="38"/>
      <c r="K1" s="38"/>
      <c r="L1" s="38"/>
      <c r="M1" s="38"/>
      <c r="N1" s="38"/>
      <c r="O1" s="38"/>
      <c r="P1" s="38"/>
      <c r="Q1" s="38"/>
      <c r="R1" s="38"/>
      <c r="S1" s="38"/>
      <c r="T1" s="38"/>
      <c r="U1" s="38"/>
      <c r="V1" s="38"/>
      <c r="W1" s="38"/>
      <c r="X1" s="38"/>
      <c r="Y1" s="38"/>
      <c r="Z1" s="38"/>
      <c r="AA1" s="38"/>
      <c r="AB1" s="38"/>
      <c r="AC1" s="38"/>
      <c r="AD1" s="38"/>
      <c r="AE1" s="38"/>
      <c r="AF1" s="38"/>
      <c r="AG1" s="38"/>
      <c r="AH1" s="38"/>
      <c r="AI1" s="38"/>
      <c r="AJ1" s="38"/>
      <c r="AK1" s="38"/>
      <c r="AL1" s="38"/>
      <c r="AM1" s="38"/>
      <c r="AN1" s="38"/>
      <c r="AO1" s="38"/>
      <c r="AP1" s="38"/>
      <c r="AQ1" s="38"/>
      <c r="AR1" s="38"/>
      <c r="AS1" s="38"/>
      <c r="AT1" s="38"/>
      <c r="AU1" s="38"/>
      <c r="AV1" s="38"/>
      <c r="AW1" s="38"/>
      <c r="AX1" s="38"/>
      <c r="AY1" s="38"/>
      <c r="AZ1" s="38"/>
      <c r="BA1" s="38"/>
      <c r="BB1" s="38"/>
      <c r="BC1" s="38"/>
      <c r="BD1" s="38"/>
      <c r="BE1" s="38"/>
      <c r="BF1" s="38"/>
      <c r="BG1" s="38"/>
      <c r="BH1" s="38"/>
      <c r="BI1" s="38"/>
      <c r="BJ1" s="38"/>
      <c r="BK1" s="38"/>
      <c r="BL1" s="38"/>
      <c r="BM1" s="38"/>
      <c r="BN1" s="38"/>
      <c r="BO1" s="38"/>
      <c r="BP1" s="38"/>
      <c r="BQ1" s="38"/>
      <c r="BR1" s="38"/>
      <c r="BS1" s="38"/>
      <c r="BT1" s="38"/>
      <c r="BU1" s="38"/>
      <c r="BV1" s="38"/>
      <c r="BW1" s="38"/>
      <c r="BX1" s="38"/>
      <c r="BY1" s="38"/>
      <c r="BZ1" s="38"/>
      <c r="CA1" s="38"/>
      <c r="CB1" s="38"/>
      <c r="CC1" s="38"/>
      <c r="CD1" s="38"/>
      <c r="CE1" s="38"/>
      <c r="CF1" s="38"/>
      <c r="CG1" s="38"/>
      <c r="CH1" s="38"/>
      <c r="CI1" s="38"/>
      <c r="CJ1" s="38"/>
      <c r="CK1" s="38"/>
      <c r="CL1" s="38"/>
      <c r="CM1" s="38"/>
      <c r="CN1" s="38"/>
    </row>
    <row r="2" spans="1:92" ht="15" customHeight="1" x14ac:dyDescent="0.25">
      <c r="A2" s="38"/>
      <c r="B2" s="38"/>
      <c r="C2" s="38"/>
      <c r="D2" s="38"/>
      <c r="E2" s="38"/>
      <c r="F2" s="38"/>
      <c r="G2" s="38"/>
      <c r="H2" s="38"/>
      <c r="I2" s="38"/>
      <c r="J2" s="38"/>
      <c r="K2" s="38"/>
      <c r="L2" s="38"/>
      <c r="M2" s="38"/>
      <c r="N2" s="38"/>
      <c r="O2" s="38"/>
      <c r="P2" s="38"/>
      <c r="Q2" s="38"/>
      <c r="R2" s="38"/>
      <c r="S2" s="38"/>
      <c r="T2" s="38"/>
      <c r="U2" s="38"/>
      <c r="V2" s="38"/>
      <c r="W2" s="38"/>
      <c r="X2" s="38"/>
      <c r="Y2" s="38"/>
      <c r="Z2" s="38"/>
      <c r="AA2" s="38"/>
      <c r="AB2" s="38"/>
      <c r="AC2" s="38"/>
      <c r="AD2" s="38"/>
      <c r="AE2" s="38"/>
      <c r="AF2" s="38"/>
      <c r="AG2" s="38"/>
      <c r="AH2" s="38"/>
      <c r="AI2" s="38"/>
      <c r="AJ2" s="38"/>
      <c r="AK2" s="38"/>
      <c r="AL2" s="38"/>
      <c r="AM2" s="38"/>
      <c r="AN2" s="38"/>
      <c r="AO2" s="38"/>
      <c r="AP2" s="38"/>
      <c r="AQ2" s="38"/>
      <c r="AR2" s="38"/>
      <c r="AS2" s="38"/>
      <c r="AT2" s="38"/>
      <c r="AU2" s="38"/>
      <c r="AV2" s="38"/>
      <c r="AW2" s="38"/>
      <c r="AX2" s="38"/>
      <c r="AY2" s="38"/>
      <c r="AZ2" s="38"/>
      <c r="BA2" s="38"/>
      <c r="BB2" s="38"/>
      <c r="BC2" s="38"/>
      <c r="BD2" s="38"/>
      <c r="BE2" s="38"/>
      <c r="BF2" s="38"/>
      <c r="BG2" s="38"/>
      <c r="BH2" s="38"/>
      <c r="BI2" s="38"/>
      <c r="BJ2" s="38"/>
      <c r="BK2" s="38"/>
      <c r="BL2" s="38"/>
      <c r="BM2" s="38"/>
      <c r="BN2" s="38"/>
      <c r="BO2" s="38"/>
      <c r="BP2" s="38"/>
      <c r="BQ2" s="38"/>
      <c r="BR2" s="38"/>
      <c r="BS2" s="38"/>
      <c r="BT2" s="38"/>
      <c r="BU2" s="38"/>
      <c r="BV2" s="38"/>
      <c r="BW2" s="38"/>
      <c r="BX2" s="38"/>
      <c r="BY2" s="38"/>
      <c r="BZ2" s="38"/>
      <c r="CA2" s="38"/>
      <c r="CB2" s="38"/>
      <c r="CC2" s="38"/>
      <c r="CD2" s="38"/>
      <c r="CE2" s="38"/>
      <c r="CF2" s="38"/>
      <c r="CG2" s="38"/>
      <c r="CH2" s="38"/>
      <c r="CI2" s="38"/>
      <c r="CJ2" s="38"/>
      <c r="CK2" s="38"/>
      <c r="CL2" s="38"/>
      <c r="CM2" s="38"/>
      <c r="CN2" s="38"/>
    </row>
    <row r="3" spans="1:92" ht="15" customHeight="1" x14ac:dyDescent="0.25">
      <c r="A3" s="39" t="s">
        <v>771</v>
      </c>
      <c r="B3" s="39"/>
      <c r="C3" s="39"/>
      <c r="D3" s="39"/>
      <c r="E3" s="39"/>
      <c r="F3" s="39"/>
      <c r="G3" s="39"/>
      <c r="H3" s="39"/>
      <c r="I3" s="39"/>
      <c r="J3" s="39"/>
      <c r="K3" s="39"/>
      <c r="L3" s="39"/>
      <c r="M3" s="39"/>
      <c r="N3" s="39"/>
      <c r="O3" s="39"/>
      <c r="P3" s="39"/>
      <c r="Q3" s="39"/>
      <c r="R3" s="39"/>
      <c r="S3" s="39"/>
      <c r="T3" s="39"/>
      <c r="U3" s="39"/>
      <c r="V3" s="39"/>
      <c r="W3" s="39"/>
      <c r="X3" s="39"/>
      <c r="Y3" s="39"/>
      <c r="Z3" s="39"/>
      <c r="AA3" s="39"/>
      <c r="AB3" s="39"/>
      <c r="AC3" s="39"/>
      <c r="AD3" s="39"/>
      <c r="AE3" s="39"/>
      <c r="AF3" s="39"/>
      <c r="AG3" s="39"/>
      <c r="AH3" s="39"/>
      <c r="AI3" s="39"/>
      <c r="AJ3" s="39"/>
      <c r="AK3" s="39"/>
      <c r="AL3" s="39"/>
      <c r="AM3" s="39"/>
      <c r="AN3" s="39"/>
      <c r="AO3" s="39"/>
      <c r="AP3" s="39"/>
      <c r="AQ3" s="39"/>
      <c r="AR3" s="39"/>
      <c r="AS3" s="39"/>
      <c r="AT3" s="39"/>
      <c r="AU3" s="39"/>
      <c r="AV3" s="39"/>
      <c r="AW3" s="39"/>
      <c r="AX3" s="39"/>
      <c r="AY3" s="39"/>
      <c r="AZ3" s="39"/>
      <c r="BA3" s="39"/>
      <c r="BB3" s="39"/>
      <c r="BC3" s="39"/>
      <c r="BD3" s="39"/>
      <c r="BE3" s="39"/>
      <c r="BF3" s="39"/>
      <c r="BG3" s="39"/>
      <c r="BH3" s="39"/>
      <c r="BI3" s="39"/>
      <c r="BJ3" s="39"/>
      <c r="BK3" s="39"/>
      <c r="BL3" s="39"/>
      <c r="BM3" s="39"/>
      <c r="BN3" s="39"/>
      <c r="BO3" s="39"/>
      <c r="BP3" s="39"/>
      <c r="BQ3" s="39"/>
      <c r="BR3" s="39"/>
      <c r="BS3" s="39"/>
      <c r="BT3" s="39"/>
      <c r="BU3" s="39"/>
      <c r="BV3" s="39"/>
      <c r="BW3" s="39"/>
      <c r="BX3" s="39"/>
      <c r="BY3" s="39"/>
      <c r="BZ3" s="39"/>
      <c r="CA3" s="39"/>
      <c r="CB3" s="39"/>
      <c r="CC3" s="39"/>
      <c r="CD3" s="39"/>
      <c r="CE3" s="39"/>
      <c r="CF3" s="39"/>
      <c r="CG3" s="39"/>
      <c r="CH3" s="39"/>
      <c r="CI3" s="39"/>
      <c r="CJ3" s="39"/>
      <c r="CK3" s="39"/>
      <c r="CL3" s="39"/>
      <c r="CM3" s="39"/>
      <c r="CN3" s="39"/>
    </row>
    <row r="4" spans="1:92" ht="15" customHeight="1" x14ac:dyDescent="0.25">
      <c r="A4" s="11"/>
      <c r="B4" s="11"/>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c r="BI4" s="11"/>
      <c r="BJ4" s="11"/>
      <c r="BK4" s="11"/>
      <c r="BL4" s="11"/>
      <c r="BM4" s="11"/>
      <c r="BN4" s="11"/>
      <c r="BO4" s="11"/>
      <c r="BP4" s="11"/>
      <c r="BQ4" s="11"/>
      <c r="BR4" s="11"/>
      <c r="BS4" s="11"/>
      <c r="BT4" s="11"/>
      <c r="BU4" s="11"/>
      <c r="BV4" s="11"/>
      <c r="BW4" s="11"/>
      <c r="BX4" s="11"/>
      <c r="BY4" s="11"/>
      <c r="BZ4" s="11"/>
      <c r="CA4" s="11"/>
      <c r="CB4" s="11"/>
      <c r="CC4" s="11"/>
      <c r="CD4" s="11"/>
      <c r="CE4" s="11"/>
      <c r="CF4" s="11"/>
      <c r="CG4" s="11"/>
      <c r="CH4" s="11"/>
      <c r="CI4" s="11"/>
      <c r="CJ4" s="11"/>
      <c r="CK4" s="11"/>
      <c r="CL4" s="11"/>
      <c r="CM4" s="11"/>
      <c r="CN4" s="11"/>
    </row>
    <row r="5" spans="1:92" ht="15" customHeight="1" x14ac:dyDescent="0.25">
      <c r="A5" s="11"/>
      <c r="B5" s="11"/>
      <c r="C5" s="11"/>
      <c r="D5" s="11"/>
      <c r="E5" s="11"/>
      <c r="F5" s="11"/>
      <c r="G5" s="11"/>
      <c r="H5" s="11"/>
      <c r="I5" s="11"/>
      <c r="J5" s="11"/>
      <c r="K5" s="11"/>
      <c r="L5" s="11"/>
      <c r="M5" s="11"/>
      <c r="N5" s="11"/>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c r="BB5" s="11"/>
      <c r="BC5" s="11"/>
      <c r="BD5" s="11"/>
      <c r="BE5" s="11"/>
      <c r="BF5" s="11"/>
      <c r="BG5" s="11"/>
      <c r="BH5" s="11"/>
      <c r="BI5" s="11"/>
      <c r="BJ5" s="11"/>
      <c r="BK5" s="11"/>
      <c r="BL5" s="11"/>
      <c r="BM5" s="11"/>
      <c r="BN5" s="11"/>
      <c r="BO5" s="11"/>
      <c r="BP5" s="11"/>
      <c r="BQ5" s="11"/>
      <c r="BR5" s="11"/>
      <c r="BS5" s="11"/>
      <c r="BT5" s="11"/>
      <c r="BU5" s="11"/>
      <c r="BV5" s="11"/>
      <c r="BW5" s="11"/>
      <c r="BX5" s="11"/>
      <c r="BY5" s="11"/>
      <c r="BZ5" s="11"/>
      <c r="CA5" s="11"/>
      <c r="CB5" s="11"/>
      <c r="CC5" s="11"/>
      <c r="CD5" s="11"/>
      <c r="CE5" s="11"/>
      <c r="CF5" s="11"/>
      <c r="CG5" s="11"/>
      <c r="CH5" s="11"/>
      <c r="CI5" s="11"/>
      <c r="CJ5" s="11"/>
      <c r="CK5" s="11"/>
      <c r="CL5" s="11"/>
      <c r="CM5" s="11"/>
      <c r="CN5" s="11"/>
    </row>
    <row r="6" spans="1:92" ht="15" customHeight="1" x14ac:dyDescent="0.25">
      <c r="A6" s="11"/>
      <c r="B6" s="40" t="s">
        <v>773</v>
      </c>
      <c r="C6" s="40"/>
      <c r="D6" s="40"/>
      <c r="E6" s="40"/>
      <c r="F6" s="40"/>
      <c r="G6" s="40"/>
      <c r="H6" s="40"/>
      <c r="I6" s="40"/>
      <c r="J6" s="40"/>
      <c r="K6" s="40"/>
      <c r="L6" s="40"/>
      <c r="M6" s="40"/>
      <c r="N6" s="40"/>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1"/>
      <c r="CD6" s="11"/>
      <c r="CE6" s="11"/>
      <c r="CF6" s="11"/>
      <c r="CG6" s="11"/>
      <c r="CH6" s="11"/>
      <c r="CI6" s="11"/>
      <c r="CJ6" s="11"/>
      <c r="CK6" s="11"/>
      <c r="CL6" s="11"/>
      <c r="CM6" s="11"/>
      <c r="CN6" s="11"/>
    </row>
    <row r="7" spans="1:92" ht="15" customHeight="1" x14ac:dyDescent="0.25">
      <c r="A7" s="11"/>
      <c r="B7" s="11"/>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c r="BC7" s="11"/>
      <c r="BD7" s="11"/>
      <c r="BE7" s="11"/>
      <c r="BF7" s="11"/>
      <c r="BG7" s="11"/>
      <c r="BH7" s="11"/>
      <c r="BI7" s="11"/>
      <c r="BJ7" s="11"/>
      <c r="BK7" s="11"/>
      <c r="BL7" s="11"/>
      <c r="BM7" s="11"/>
      <c r="BN7" s="11"/>
      <c r="BO7" s="11"/>
      <c r="BP7" s="11"/>
      <c r="BQ7" s="11"/>
      <c r="BR7" s="11"/>
      <c r="BS7" s="11"/>
      <c r="BT7" s="11"/>
      <c r="BU7" s="11"/>
      <c r="BV7" s="11"/>
      <c r="BW7" s="11"/>
      <c r="BX7" s="11"/>
      <c r="BY7" s="11"/>
      <c r="BZ7" s="11"/>
      <c r="CA7" s="11"/>
      <c r="CB7" s="11"/>
      <c r="CC7" s="11"/>
      <c r="CD7" s="11"/>
      <c r="CE7" s="11"/>
      <c r="CF7" s="11"/>
      <c r="CG7" s="11"/>
      <c r="CH7" s="11"/>
      <c r="CI7" s="11"/>
      <c r="CJ7" s="11"/>
      <c r="CK7" s="11"/>
      <c r="CL7" s="11"/>
      <c r="CM7" s="11"/>
      <c r="CN7" s="11"/>
    </row>
    <row r="8" spans="1:92" ht="15" customHeight="1" x14ac:dyDescent="0.25">
      <c r="A8" s="11"/>
      <c r="B8" s="11"/>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B8" s="11"/>
      <c r="BC8" s="11"/>
      <c r="BD8" s="11"/>
      <c r="BE8" s="11"/>
      <c r="BF8" s="11"/>
      <c r="BG8" s="11"/>
      <c r="BH8" s="11"/>
      <c r="BI8" s="11"/>
      <c r="BJ8" s="11"/>
      <c r="BK8" s="11"/>
      <c r="BL8" s="11"/>
      <c r="BM8" s="11"/>
      <c r="BN8" s="11"/>
      <c r="BO8" s="11"/>
      <c r="BP8" s="11"/>
      <c r="BQ8" s="11"/>
      <c r="BR8" s="11"/>
      <c r="BS8" s="11"/>
      <c r="BT8" s="11"/>
      <c r="BU8" s="11"/>
      <c r="BV8" s="11"/>
      <c r="BW8" s="11"/>
      <c r="BX8" s="11"/>
      <c r="BY8" s="11"/>
      <c r="BZ8" s="11"/>
      <c r="CA8" s="11"/>
      <c r="CB8" s="11"/>
      <c r="CC8" s="11"/>
      <c r="CD8" s="11"/>
      <c r="CE8" s="11"/>
      <c r="CF8" s="11"/>
      <c r="CG8" s="11"/>
      <c r="CH8" s="11"/>
      <c r="CI8" s="11"/>
      <c r="CJ8" s="11"/>
      <c r="CK8" s="11"/>
      <c r="CL8" s="11"/>
      <c r="CM8" s="11"/>
      <c r="CN8" s="11"/>
    </row>
    <row r="9" spans="1:92" ht="15" customHeight="1" x14ac:dyDescent="0.25">
      <c r="A9" s="11"/>
      <c r="B9" s="11"/>
      <c r="C9" s="11"/>
      <c r="D9" s="11"/>
      <c r="E9" s="11"/>
      <c r="F9" s="11"/>
      <c r="G9" s="11"/>
      <c r="H9" s="11"/>
      <c r="I9" s="11"/>
      <c r="J9" s="11"/>
      <c r="K9" s="11"/>
      <c r="L9" s="11"/>
      <c r="M9" s="11"/>
      <c r="N9" s="11"/>
      <c r="O9" s="11"/>
      <c r="P9" s="11"/>
      <c r="Q9" s="11"/>
      <c r="R9" s="11"/>
      <c r="S9" s="11"/>
      <c r="T9" s="11"/>
      <c r="U9" s="11"/>
      <c r="V9" s="11"/>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c r="AY9" s="11"/>
      <c r="AZ9" s="11"/>
      <c r="BA9" s="11"/>
      <c r="BB9" s="11"/>
      <c r="BC9" s="11"/>
      <c r="BD9" s="11"/>
      <c r="BE9" s="11"/>
      <c r="BF9" s="11"/>
      <c r="BG9" s="11"/>
      <c r="BH9" s="11"/>
      <c r="BI9" s="11"/>
      <c r="BJ9" s="11"/>
      <c r="BK9" s="11"/>
      <c r="BL9" s="11"/>
      <c r="BM9" s="11"/>
      <c r="BN9" s="11"/>
      <c r="BO9" s="11"/>
      <c r="BP9" s="11"/>
      <c r="BQ9" s="11"/>
      <c r="BR9" s="11"/>
      <c r="BS9" s="11"/>
      <c r="BT9" s="11"/>
      <c r="BU9" s="11"/>
      <c r="BV9" s="11"/>
      <c r="BW9" s="11"/>
      <c r="BX9" s="11"/>
      <c r="BY9" s="11"/>
      <c r="BZ9" s="11"/>
      <c r="CA9" s="11"/>
      <c r="CB9" s="11"/>
      <c r="CC9" s="11"/>
      <c r="CD9" s="11"/>
      <c r="CE9" s="11"/>
      <c r="CF9" s="11"/>
      <c r="CG9" s="11"/>
      <c r="CH9" s="11"/>
      <c r="CI9" s="11"/>
      <c r="CJ9" s="11"/>
      <c r="CK9" s="11"/>
      <c r="CL9" s="11"/>
      <c r="CM9" s="11"/>
      <c r="CN9" s="11"/>
    </row>
    <row r="10" spans="1:92" ht="15" customHeight="1" x14ac:dyDescent="0.25">
      <c r="A10" s="11"/>
      <c r="B10" s="11"/>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c r="BB10" s="11"/>
      <c r="BC10" s="11"/>
      <c r="BD10" s="11"/>
      <c r="BE10" s="11"/>
      <c r="BF10" s="11"/>
      <c r="BG10" s="11"/>
      <c r="BH10" s="11"/>
      <c r="BI10" s="11"/>
      <c r="BJ10" s="11"/>
      <c r="BK10" s="11"/>
      <c r="BL10" s="11"/>
      <c r="BM10" s="11"/>
      <c r="BN10" s="11"/>
      <c r="BO10" s="11"/>
      <c r="BP10" s="11"/>
      <c r="BQ10" s="11"/>
      <c r="BR10" s="11"/>
      <c r="BS10" s="11"/>
      <c r="BT10" s="11"/>
      <c r="BU10" s="11"/>
      <c r="BV10" s="11"/>
      <c r="BW10" s="11"/>
      <c r="BX10" s="11"/>
      <c r="BY10" s="11"/>
      <c r="BZ10" s="11"/>
      <c r="CA10" s="11"/>
      <c r="CB10" s="11"/>
      <c r="CC10" s="11"/>
      <c r="CD10" s="11"/>
      <c r="CE10" s="11"/>
      <c r="CF10" s="11"/>
      <c r="CG10" s="11"/>
      <c r="CH10" s="11"/>
      <c r="CI10" s="11"/>
      <c r="CJ10" s="11"/>
      <c r="CK10" s="11"/>
      <c r="CL10" s="11"/>
      <c r="CM10" s="11"/>
      <c r="CN10" s="11"/>
    </row>
    <row r="11" spans="1:92" ht="15" customHeight="1" x14ac:dyDescent="0.25">
      <c r="A11" s="11"/>
      <c r="B11" s="11"/>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c r="AS11" s="11"/>
      <c r="AT11" s="11"/>
      <c r="AU11" s="11"/>
      <c r="AV11" s="11"/>
      <c r="AW11" s="11"/>
      <c r="AX11" s="11"/>
      <c r="AY11" s="11"/>
      <c r="AZ11" s="11"/>
      <c r="BA11" s="11"/>
      <c r="BB11" s="11"/>
      <c r="BC11" s="11"/>
      <c r="BD11" s="11"/>
      <c r="BE11" s="11"/>
      <c r="BF11" s="11"/>
      <c r="BG11" s="11"/>
      <c r="BH11" s="11"/>
      <c r="BI11" s="11"/>
      <c r="BJ11" s="11"/>
      <c r="BK11" s="11"/>
      <c r="BL11" s="11"/>
      <c r="BM11" s="11"/>
      <c r="BN11" s="11"/>
      <c r="BO11" s="11"/>
      <c r="BP11" s="11"/>
      <c r="BQ11" s="11"/>
      <c r="BR11" s="11"/>
      <c r="BS11" s="11"/>
      <c r="BT11" s="11"/>
      <c r="BU11" s="11"/>
      <c r="BV11" s="11"/>
      <c r="BW11" s="11"/>
      <c r="BX11" s="11"/>
      <c r="BY11" s="11"/>
      <c r="BZ11" s="11"/>
      <c r="CA11" s="11"/>
      <c r="CB11" s="11"/>
      <c r="CC11" s="11"/>
      <c r="CD11" s="11"/>
      <c r="CE11" s="11"/>
      <c r="CF11" s="11"/>
      <c r="CG11" s="11"/>
      <c r="CH11" s="11"/>
      <c r="CI11" s="11"/>
      <c r="CJ11" s="11"/>
      <c r="CK11" s="11"/>
      <c r="CL11" s="11"/>
      <c r="CM11" s="11"/>
      <c r="CN11" s="11"/>
    </row>
    <row r="12" spans="1:92" ht="15" customHeight="1" x14ac:dyDescent="0.25">
      <c r="A12" s="11"/>
      <c r="B12" s="11"/>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1"/>
      <c r="BA12" s="11"/>
      <c r="BB12" s="11"/>
      <c r="BC12" s="11"/>
      <c r="BD12" s="11"/>
      <c r="BE12" s="11"/>
      <c r="BF12" s="11"/>
      <c r="BG12" s="11"/>
      <c r="BH12" s="11"/>
      <c r="BI12" s="11"/>
      <c r="BJ12" s="11"/>
      <c r="BK12" s="11"/>
      <c r="BL12" s="11"/>
      <c r="BM12" s="11"/>
      <c r="BN12" s="11"/>
      <c r="BO12" s="11"/>
      <c r="BP12" s="11"/>
      <c r="BQ12" s="11"/>
      <c r="BR12" s="11"/>
      <c r="BS12" s="11"/>
      <c r="BT12" s="11"/>
      <c r="BU12" s="11"/>
      <c r="BV12" s="11"/>
      <c r="BW12" s="11"/>
      <c r="BX12" s="11"/>
      <c r="BY12" s="11"/>
      <c r="BZ12" s="11"/>
      <c r="CA12" s="11"/>
      <c r="CB12" s="11"/>
      <c r="CC12" s="11"/>
      <c r="CD12" s="11"/>
      <c r="CE12" s="11"/>
      <c r="CF12" s="11"/>
      <c r="CG12" s="11"/>
      <c r="CH12" s="11"/>
      <c r="CI12" s="11"/>
      <c r="CJ12" s="11"/>
      <c r="CK12" s="11"/>
      <c r="CL12" s="11"/>
      <c r="CM12" s="11"/>
      <c r="CN12" s="11"/>
    </row>
    <row r="13" spans="1:92" ht="15" customHeight="1" x14ac:dyDescent="0.25">
      <c r="A13" s="11"/>
      <c r="B13" s="11"/>
      <c r="C13" s="11"/>
      <c r="D13" s="11"/>
      <c r="E13" s="11"/>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11"/>
      <c r="AL13" s="11"/>
      <c r="AM13" s="11"/>
      <c r="AN13" s="11"/>
      <c r="AO13" s="11"/>
      <c r="AP13" s="11"/>
      <c r="AQ13" s="11"/>
      <c r="AR13" s="11"/>
      <c r="AS13" s="11"/>
      <c r="AT13" s="11"/>
      <c r="AU13" s="11"/>
      <c r="AV13" s="11"/>
      <c r="AW13" s="11"/>
      <c r="AX13" s="11"/>
      <c r="AY13" s="11"/>
      <c r="AZ13" s="11"/>
      <c r="BA13" s="11"/>
      <c r="BB13" s="11"/>
      <c r="BC13" s="11"/>
      <c r="BD13" s="11"/>
      <c r="BE13" s="11"/>
      <c r="BF13" s="11"/>
      <c r="BG13" s="11"/>
      <c r="BH13" s="11"/>
      <c r="BI13" s="11"/>
      <c r="BJ13" s="11"/>
      <c r="BK13" s="11"/>
      <c r="BL13" s="11"/>
      <c r="BM13" s="11"/>
      <c r="BN13" s="11"/>
      <c r="BO13" s="11"/>
      <c r="BP13" s="11"/>
      <c r="BQ13" s="11"/>
      <c r="BR13" s="11"/>
      <c r="BS13" s="11"/>
      <c r="BT13" s="11"/>
      <c r="BU13" s="11"/>
      <c r="BV13" s="11"/>
      <c r="BW13" s="11"/>
      <c r="BX13" s="11"/>
      <c r="BY13" s="11"/>
      <c r="BZ13" s="11"/>
      <c r="CA13" s="11"/>
      <c r="CB13" s="11"/>
      <c r="CC13" s="11"/>
      <c r="CD13" s="11"/>
      <c r="CE13" s="11"/>
      <c r="CF13" s="11"/>
      <c r="CG13" s="11"/>
      <c r="CH13" s="11"/>
      <c r="CI13" s="11"/>
      <c r="CJ13" s="11"/>
      <c r="CK13" s="11"/>
      <c r="CL13" s="11"/>
      <c r="CM13" s="11"/>
      <c r="CN13" s="11"/>
    </row>
    <row r="14" spans="1:92" ht="15" customHeight="1" x14ac:dyDescent="0.25">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c r="BB14" s="11"/>
      <c r="BC14" s="11"/>
      <c r="BD14" s="11"/>
      <c r="BE14" s="11"/>
      <c r="BF14" s="11"/>
      <c r="BG14" s="11"/>
      <c r="BH14" s="11"/>
      <c r="BI14" s="11"/>
      <c r="BJ14" s="11"/>
      <c r="BK14" s="11"/>
      <c r="BL14" s="11"/>
      <c r="BM14" s="11"/>
      <c r="BN14" s="11"/>
      <c r="BO14" s="11"/>
      <c r="BP14" s="11"/>
      <c r="BQ14" s="11"/>
      <c r="BR14" s="11"/>
      <c r="BS14" s="11"/>
      <c r="BT14" s="11"/>
      <c r="BU14" s="11"/>
      <c r="BV14" s="11"/>
      <c r="BW14" s="11"/>
      <c r="BX14" s="11"/>
      <c r="BY14" s="11"/>
      <c r="BZ14" s="11"/>
      <c r="CA14" s="11"/>
      <c r="CB14" s="11"/>
      <c r="CC14" s="11"/>
      <c r="CD14" s="11"/>
      <c r="CE14" s="11"/>
      <c r="CF14" s="11"/>
      <c r="CG14" s="11"/>
      <c r="CH14" s="11"/>
      <c r="CI14" s="11"/>
      <c r="CJ14" s="11"/>
      <c r="CK14" s="11"/>
      <c r="CL14" s="11"/>
      <c r="CM14" s="11"/>
      <c r="CN14" s="11"/>
    </row>
    <row r="15" spans="1:92" ht="15" customHeight="1" x14ac:dyDescent="0.25">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11"/>
      <c r="AL15" s="11"/>
      <c r="AM15" s="11"/>
      <c r="AN15" s="11"/>
      <c r="AO15" s="11"/>
      <c r="AP15" s="11"/>
      <c r="AQ15" s="11"/>
      <c r="AR15" s="11"/>
      <c r="AS15" s="11"/>
      <c r="AT15" s="11"/>
      <c r="AU15" s="11"/>
      <c r="AV15" s="11"/>
      <c r="AW15" s="11"/>
      <c r="AX15" s="11"/>
      <c r="AY15" s="11"/>
      <c r="AZ15" s="11"/>
      <c r="BA15" s="11"/>
      <c r="BB15" s="11"/>
      <c r="BC15" s="11"/>
      <c r="BD15" s="11"/>
      <c r="BE15" s="11"/>
      <c r="BF15" s="11"/>
      <c r="BG15" s="11"/>
      <c r="BH15" s="11"/>
      <c r="BI15" s="11"/>
      <c r="BJ15" s="11"/>
      <c r="BK15" s="11"/>
      <c r="BL15" s="11"/>
      <c r="BM15" s="11"/>
      <c r="BN15" s="11"/>
      <c r="BO15" s="11"/>
      <c r="BP15" s="11"/>
      <c r="BQ15" s="11"/>
      <c r="BR15" s="11"/>
      <c r="BS15" s="11"/>
      <c r="BT15" s="11"/>
      <c r="BU15" s="11"/>
      <c r="BV15" s="11"/>
      <c r="BW15" s="11"/>
      <c r="BX15" s="11"/>
      <c r="BY15" s="11"/>
      <c r="BZ15" s="11"/>
      <c r="CA15" s="11"/>
      <c r="CB15" s="11"/>
      <c r="CC15" s="11"/>
      <c r="CD15" s="11"/>
      <c r="CE15" s="11"/>
      <c r="CF15" s="11"/>
      <c r="CG15" s="11"/>
      <c r="CH15" s="11"/>
      <c r="CI15" s="11"/>
      <c r="CJ15" s="11"/>
      <c r="CK15" s="11"/>
      <c r="CL15" s="11"/>
      <c r="CM15" s="11"/>
      <c r="CN15" s="11"/>
    </row>
    <row r="16" spans="1:92" ht="15" customHeight="1" x14ac:dyDescent="0.25">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c r="AY16" s="11"/>
      <c r="AZ16" s="11"/>
      <c r="BA16" s="11"/>
      <c r="BB16" s="11"/>
      <c r="BC16" s="11"/>
      <c r="BD16" s="11"/>
      <c r="BE16" s="11"/>
      <c r="BF16" s="11"/>
      <c r="BG16" s="11"/>
      <c r="BH16" s="11"/>
      <c r="BI16" s="11"/>
      <c r="BJ16" s="11"/>
      <c r="BK16" s="11"/>
      <c r="BL16" s="11"/>
      <c r="BM16" s="11"/>
      <c r="BN16" s="11"/>
      <c r="BO16" s="11"/>
      <c r="BP16" s="11"/>
      <c r="BQ16" s="11"/>
      <c r="BR16" s="11"/>
      <c r="BS16" s="11"/>
      <c r="BT16" s="11"/>
      <c r="BU16" s="11"/>
      <c r="BV16" s="11"/>
      <c r="BW16" s="11"/>
      <c r="BX16" s="11"/>
      <c r="BY16" s="11"/>
      <c r="BZ16" s="11"/>
      <c r="CA16" s="11"/>
      <c r="CB16" s="11"/>
      <c r="CC16" s="11"/>
      <c r="CD16" s="11"/>
      <c r="CE16" s="11"/>
      <c r="CF16" s="11"/>
      <c r="CG16" s="11"/>
      <c r="CH16" s="11"/>
      <c r="CI16" s="11"/>
      <c r="CJ16" s="11"/>
      <c r="CK16" s="11"/>
      <c r="CL16" s="11"/>
      <c r="CM16" s="11"/>
      <c r="CN16" s="11"/>
    </row>
    <row r="17" spans="1:92" ht="15" customHeight="1" x14ac:dyDescent="0.25">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11"/>
      <c r="AL17" s="11"/>
      <c r="AM17" s="11"/>
      <c r="AN17" s="11"/>
      <c r="AO17" s="11"/>
      <c r="AP17" s="11"/>
      <c r="AQ17" s="11"/>
      <c r="AR17" s="11"/>
      <c r="AS17" s="11"/>
      <c r="AT17" s="11"/>
      <c r="AU17" s="11"/>
      <c r="AV17" s="11"/>
      <c r="AW17" s="11"/>
      <c r="AX17" s="11"/>
      <c r="AY17" s="11"/>
      <c r="AZ17" s="11"/>
      <c r="BA17" s="11"/>
      <c r="BB17" s="11"/>
      <c r="BC17" s="11"/>
      <c r="BD17" s="11"/>
      <c r="BE17" s="11"/>
      <c r="BF17" s="11"/>
      <c r="BG17" s="11"/>
      <c r="BH17" s="11"/>
      <c r="BI17" s="11"/>
      <c r="BJ17" s="11"/>
      <c r="BK17" s="11"/>
      <c r="BL17" s="11"/>
      <c r="BM17" s="11"/>
      <c r="BN17" s="11"/>
      <c r="BO17" s="11"/>
      <c r="BP17" s="11"/>
      <c r="BQ17" s="11"/>
      <c r="BR17" s="11"/>
      <c r="BS17" s="11"/>
      <c r="BT17" s="11"/>
      <c r="BU17" s="11"/>
      <c r="BV17" s="11"/>
      <c r="BW17" s="11"/>
      <c r="BX17" s="11"/>
      <c r="BY17" s="11"/>
      <c r="BZ17" s="11"/>
      <c r="CA17" s="11"/>
      <c r="CB17" s="11"/>
      <c r="CC17" s="11"/>
      <c r="CD17" s="11"/>
      <c r="CE17" s="11"/>
      <c r="CF17" s="11"/>
      <c r="CG17" s="11"/>
      <c r="CH17" s="11"/>
      <c r="CI17" s="11"/>
      <c r="CJ17" s="11"/>
      <c r="CK17" s="11"/>
      <c r="CL17" s="11"/>
      <c r="CM17" s="11"/>
      <c r="CN17" s="11"/>
    </row>
    <row r="18" spans="1:92" ht="15" customHeight="1" x14ac:dyDescent="0.25">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1"/>
      <c r="AX18" s="11"/>
      <c r="AY18" s="11"/>
      <c r="AZ18" s="11"/>
      <c r="BA18" s="11"/>
      <c r="BB18" s="11"/>
      <c r="BC18" s="11"/>
      <c r="BD18" s="11"/>
      <c r="BE18" s="11"/>
      <c r="BF18" s="11"/>
      <c r="BG18" s="11"/>
      <c r="BH18" s="11"/>
      <c r="BI18" s="11"/>
      <c r="BJ18" s="11"/>
      <c r="BK18" s="11"/>
      <c r="BL18" s="11"/>
      <c r="BM18" s="11"/>
      <c r="BN18" s="11"/>
      <c r="BO18" s="11"/>
      <c r="BP18" s="11"/>
      <c r="BQ18" s="11"/>
      <c r="BR18" s="11"/>
      <c r="BS18" s="11"/>
      <c r="BT18" s="11"/>
      <c r="BU18" s="11"/>
      <c r="BV18" s="11"/>
      <c r="BW18" s="11"/>
      <c r="BX18" s="11"/>
      <c r="BY18" s="11"/>
      <c r="BZ18" s="11"/>
      <c r="CA18" s="11"/>
      <c r="CB18" s="11"/>
      <c r="CC18" s="11"/>
      <c r="CD18" s="11"/>
      <c r="CE18" s="11"/>
      <c r="CF18" s="11"/>
      <c r="CG18" s="11"/>
      <c r="CH18" s="11"/>
      <c r="CI18" s="11"/>
      <c r="CJ18" s="11"/>
      <c r="CK18" s="11"/>
      <c r="CL18" s="11"/>
      <c r="CM18" s="11"/>
      <c r="CN18" s="11"/>
    </row>
    <row r="19" spans="1:92" ht="15" customHeight="1" x14ac:dyDescent="0.25">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1"/>
      <c r="AU19" s="11"/>
      <c r="AV19" s="11"/>
      <c r="AW19" s="11"/>
      <c r="AX19" s="11"/>
      <c r="AY19" s="11"/>
      <c r="AZ19" s="11"/>
      <c r="BA19" s="11"/>
      <c r="BB19" s="11"/>
      <c r="BC19" s="11"/>
      <c r="BD19" s="11"/>
      <c r="BE19" s="11"/>
      <c r="BF19" s="11"/>
      <c r="BG19" s="11"/>
      <c r="BH19" s="11"/>
      <c r="BI19" s="11"/>
      <c r="BJ19" s="11"/>
      <c r="BK19" s="11"/>
      <c r="BL19" s="11"/>
      <c r="BM19" s="11"/>
      <c r="BN19" s="11"/>
      <c r="BO19" s="11"/>
      <c r="BP19" s="11"/>
      <c r="BQ19" s="11"/>
      <c r="BR19" s="11"/>
      <c r="BS19" s="11"/>
      <c r="BT19" s="11"/>
      <c r="BU19" s="11"/>
      <c r="BV19" s="11"/>
      <c r="BW19" s="11"/>
      <c r="BX19" s="11"/>
      <c r="BY19" s="11"/>
      <c r="BZ19" s="11"/>
      <c r="CA19" s="11"/>
      <c r="CB19" s="11"/>
      <c r="CC19" s="11"/>
      <c r="CD19" s="11"/>
      <c r="CE19" s="11"/>
      <c r="CF19" s="11"/>
      <c r="CG19" s="11"/>
      <c r="CH19" s="11"/>
      <c r="CI19" s="11"/>
      <c r="CJ19" s="11"/>
      <c r="CK19" s="11"/>
      <c r="CL19" s="11"/>
      <c r="CM19" s="11"/>
      <c r="CN19" s="11"/>
    </row>
    <row r="20" spans="1:92" ht="15" customHeight="1" x14ac:dyDescent="0.25">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c r="AY20" s="11"/>
      <c r="AZ20" s="11"/>
      <c r="BA20" s="11"/>
      <c r="BB20" s="11"/>
      <c r="BC20" s="11"/>
      <c r="BD20" s="11"/>
      <c r="BE20" s="11"/>
      <c r="BF20" s="11"/>
      <c r="BG20" s="11"/>
      <c r="BH20" s="11"/>
      <c r="BI20" s="11"/>
      <c r="BJ20" s="11"/>
      <c r="BK20" s="11"/>
      <c r="BL20" s="11"/>
      <c r="BM20" s="11"/>
      <c r="BN20" s="11"/>
      <c r="BO20" s="11"/>
      <c r="BP20" s="11"/>
      <c r="BQ20" s="11"/>
      <c r="BR20" s="11"/>
      <c r="BS20" s="11"/>
      <c r="BT20" s="11"/>
      <c r="BU20" s="11"/>
      <c r="BV20" s="11"/>
      <c r="BW20" s="11"/>
      <c r="BX20" s="11"/>
      <c r="BY20" s="11"/>
      <c r="BZ20" s="11"/>
      <c r="CA20" s="11"/>
      <c r="CB20" s="11"/>
      <c r="CC20" s="11"/>
      <c r="CD20" s="11"/>
      <c r="CE20" s="11"/>
      <c r="CF20" s="11"/>
      <c r="CG20" s="11"/>
      <c r="CH20" s="11"/>
      <c r="CI20" s="11"/>
      <c r="CJ20" s="11"/>
      <c r="CK20" s="11"/>
      <c r="CL20" s="11"/>
      <c r="CM20" s="11"/>
      <c r="CN20" s="11"/>
    </row>
    <row r="21" spans="1:92" ht="15" customHeight="1" x14ac:dyDescent="0.25">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1"/>
      <c r="AU21" s="11"/>
      <c r="AV21" s="11"/>
      <c r="AW21" s="11"/>
      <c r="AX21" s="11"/>
      <c r="AY21" s="11"/>
      <c r="AZ21" s="11"/>
      <c r="BA21" s="11"/>
      <c r="BB21" s="11"/>
      <c r="BC21" s="11"/>
      <c r="BD21" s="11"/>
      <c r="BE21" s="11"/>
      <c r="BF21" s="11"/>
      <c r="BG21" s="11"/>
      <c r="BH21" s="11"/>
      <c r="BI21" s="11"/>
      <c r="BJ21" s="11"/>
      <c r="BK21" s="11"/>
      <c r="BL21" s="11"/>
      <c r="BM21" s="11"/>
      <c r="BN21" s="11"/>
      <c r="BO21" s="11"/>
      <c r="BP21" s="11"/>
      <c r="BQ21" s="11"/>
      <c r="BR21" s="11"/>
      <c r="BS21" s="11"/>
      <c r="BT21" s="11"/>
      <c r="BU21" s="11"/>
      <c r="BV21" s="11"/>
      <c r="BW21" s="11"/>
      <c r="BX21" s="11"/>
      <c r="BY21" s="11"/>
      <c r="BZ21" s="11"/>
      <c r="CA21" s="11"/>
      <c r="CB21" s="11"/>
      <c r="CC21" s="11"/>
      <c r="CD21" s="11"/>
      <c r="CE21" s="11"/>
      <c r="CF21" s="11"/>
      <c r="CG21" s="11"/>
      <c r="CH21" s="11"/>
      <c r="CI21" s="11"/>
      <c r="CJ21" s="11"/>
      <c r="CK21" s="11"/>
      <c r="CL21" s="11"/>
      <c r="CM21" s="11"/>
      <c r="CN21" s="11"/>
    </row>
    <row r="22" spans="1:92" ht="15" customHeight="1" x14ac:dyDescent="0.25">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11"/>
      <c r="AL22" s="11"/>
      <c r="AM22" s="11"/>
      <c r="AN22" s="11"/>
      <c r="AO22" s="11"/>
      <c r="AP22" s="11"/>
      <c r="AQ22" s="11"/>
      <c r="AR22" s="11"/>
      <c r="AS22" s="11"/>
      <c r="AT22" s="11"/>
      <c r="AU22" s="11"/>
      <c r="AV22" s="11"/>
      <c r="AW22" s="11"/>
      <c r="AX22" s="11"/>
      <c r="AY22" s="11"/>
      <c r="AZ22" s="11"/>
      <c r="BA22" s="11"/>
      <c r="BB22" s="11"/>
      <c r="BC22" s="11"/>
      <c r="BD22" s="11"/>
      <c r="BE22" s="11"/>
      <c r="BF22" s="11"/>
      <c r="BG22" s="11"/>
      <c r="BH22" s="11"/>
      <c r="BI22" s="11"/>
      <c r="BJ22" s="11"/>
      <c r="BK22" s="11"/>
      <c r="BL22" s="11"/>
      <c r="BM22" s="11"/>
      <c r="BN22" s="11"/>
      <c r="BO22" s="11"/>
      <c r="BP22" s="11"/>
      <c r="BQ22" s="11"/>
      <c r="BR22" s="11"/>
      <c r="BS22" s="11"/>
      <c r="BT22" s="11"/>
      <c r="BU22" s="11"/>
      <c r="BV22" s="11"/>
      <c r="BW22" s="11"/>
      <c r="BX22" s="11"/>
      <c r="BY22" s="11"/>
      <c r="BZ22" s="11"/>
      <c r="CA22" s="11"/>
      <c r="CB22" s="11"/>
      <c r="CC22" s="11"/>
      <c r="CD22" s="11"/>
      <c r="CE22" s="11"/>
      <c r="CF22" s="11"/>
      <c r="CG22" s="11"/>
      <c r="CH22" s="11"/>
      <c r="CI22" s="11"/>
      <c r="CJ22" s="11"/>
      <c r="CK22" s="11"/>
      <c r="CL22" s="11"/>
      <c r="CM22" s="11"/>
      <c r="CN22" s="11"/>
    </row>
    <row r="23" spans="1:92" ht="15" customHeight="1" x14ac:dyDescent="0.25">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11"/>
      <c r="AL23" s="11"/>
      <c r="AM23" s="11"/>
      <c r="AN23" s="11"/>
      <c r="AO23" s="11"/>
      <c r="AP23" s="11"/>
      <c r="AQ23" s="11"/>
      <c r="AR23" s="11"/>
      <c r="AS23" s="11"/>
      <c r="AT23" s="11"/>
      <c r="AU23" s="11"/>
      <c r="AV23" s="11"/>
      <c r="AW23" s="11"/>
      <c r="AX23" s="11"/>
      <c r="AY23" s="11"/>
      <c r="AZ23" s="11"/>
      <c r="BA23" s="11"/>
      <c r="BB23" s="11"/>
      <c r="BC23" s="11"/>
      <c r="BD23" s="11"/>
      <c r="BE23" s="11"/>
      <c r="BF23" s="11"/>
      <c r="BG23" s="11"/>
      <c r="BH23" s="11"/>
      <c r="BI23" s="11"/>
      <c r="BJ23" s="11"/>
      <c r="BK23" s="11"/>
      <c r="BL23" s="11"/>
      <c r="BM23" s="11"/>
      <c r="BN23" s="11"/>
      <c r="BO23" s="11"/>
      <c r="BP23" s="11"/>
      <c r="BQ23" s="11"/>
      <c r="BR23" s="11"/>
      <c r="BS23" s="11"/>
      <c r="BT23" s="11"/>
      <c r="BU23" s="11"/>
      <c r="BV23" s="11"/>
      <c r="BW23" s="11"/>
      <c r="BX23" s="11"/>
      <c r="BY23" s="11"/>
      <c r="BZ23" s="11"/>
      <c r="CA23" s="11"/>
      <c r="CB23" s="11"/>
      <c r="CC23" s="11"/>
      <c r="CD23" s="11"/>
      <c r="CE23" s="11"/>
      <c r="CF23" s="11"/>
      <c r="CG23" s="11"/>
      <c r="CH23" s="11"/>
      <c r="CI23" s="11"/>
      <c r="CJ23" s="11"/>
      <c r="CK23" s="11"/>
      <c r="CL23" s="11"/>
      <c r="CM23" s="11"/>
      <c r="CN23" s="11"/>
    </row>
    <row r="24" spans="1:92" ht="15" customHeight="1" x14ac:dyDescent="0.25">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c r="AY24" s="11"/>
      <c r="AZ24" s="11"/>
      <c r="BA24" s="11"/>
      <c r="BB24" s="11"/>
      <c r="BC24" s="11"/>
      <c r="BD24" s="11"/>
      <c r="BE24" s="11"/>
      <c r="BF24" s="11"/>
      <c r="BG24" s="11"/>
      <c r="BH24" s="11"/>
      <c r="BI24" s="11"/>
      <c r="BJ24" s="11"/>
      <c r="BK24" s="11"/>
      <c r="BL24" s="11"/>
      <c r="BM24" s="11"/>
      <c r="BN24" s="11"/>
      <c r="BO24" s="11"/>
      <c r="BP24" s="11"/>
      <c r="BQ24" s="11"/>
      <c r="BR24" s="11"/>
      <c r="BS24" s="11"/>
      <c r="BT24" s="11"/>
      <c r="BU24" s="11"/>
      <c r="BV24" s="11"/>
      <c r="BW24" s="11"/>
      <c r="BX24" s="11"/>
      <c r="BY24" s="11"/>
      <c r="BZ24" s="11"/>
      <c r="CA24" s="11"/>
      <c r="CB24" s="11"/>
      <c r="CC24" s="11"/>
      <c r="CD24" s="11"/>
      <c r="CE24" s="11"/>
      <c r="CF24" s="11"/>
      <c r="CG24" s="11"/>
      <c r="CH24" s="11"/>
      <c r="CI24" s="11"/>
      <c r="CJ24" s="11"/>
      <c r="CK24" s="11"/>
      <c r="CL24" s="11"/>
      <c r="CM24" s="11"/>
      <c r="CN24" s="11"/>
    </row>
    <row r="25" spans="1:92" ht="15" customHeight="1" x14ac:dyDescent="0.25">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c r="AY25" s="11"/>
      <c r="AZ25" s="11"/>
      <c r="BA25" s="11"/>
      <c r="BB25" s="11"/>
      <c r="BC25" s="11"/>
      <c r="BD25" s="11"/>
      <c r="BE25" s="11"/>
      <c r="BF25" s="11"/>
      <c r="BG25" s="11"/>
      <c r="BH25" s="11"/>
      <c r="BI25" s="11"/>
      <c r="BJ25" s="11"/>
      <c r="BK25" s="11"/>
      <c r="BL25" s="11"/>
      <c r="BM25" s="11"/>
      <c r="BN25" s="11"/>
      <c r="BO25" s="11"/>
      <c r="BP25" s="11"/>
      <c r="BQ25" s="11"/>
      <c r="BR25" s="11"/>
      <c r="BS25" s="11"/>
      <c r="BT25" s="11"/>
      <c r="BU25" s="11"/>
      <c r="BV25" s="11"/>
      <c r="BW25" s="11"/>
      <c r="BX25" s="11"/>
      <c r="BY25" s="11"/>
      <c r="BZ25" s="11"/>
      <c r="CA25" s="11"/>
      <c r="CB25" s="11"/>
      <c r="CC25" s="11"/>
      <c r="CD25" s="11"/>
      <c r="CE25" s="11"/>
      <c r="CF25" s="11"/>
      <c r="CG25" s="11"/>
      <c r="CH25" s="11"/>
      <c r="CI25" s="11"/>
      <c r="CJ25" s="11"/>
      <c r="CK25" s="11"/>
      <c r="CL25" s="11"/>
      <c r="CM25" s="11"/>
      <c r="CN25" s="11"/>
    </row>
    <row r="26" spans="1:92" ht="15" customHeight="1" x14ac:dyDescent="0.25">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11"/>
      <c r="AL26" s="11"/>
      <c r="AM26" s="11"/>
      <c r="AN26" s="11"/>
      <c r="AO26" s="11"/>
      <c r="AP26" s="11"/>
      <c r="AQ26" s="11"/>
      <c r="AR26" s="11"/>
      <c r="AS26" s="11"/>
      <c r="AT26" s="11"/>
      <c r="AU26" s="11"/>
      <c r="AV26" s="11"/>
      <c r="AW26" s="11"/>
      <c r="AX26" s="11"/>
      <c r="AY26" s="11"/>
      <c r="AZ26" s="11"/>
      <c r="BA26" s="11"/>
      <c r="BB26" s="11"/>
      <c r="BC26" s="11"/>
      <c r="BD26" s="11"/>
      <c r="BE26" s="11"/>
      <c r="BF26" s="11"/>
      <c r="BG26" s="11"/>
      <c r="BH26" s="11"/>
      <c r="BI26" s="11"/>
      <c r="BJ26" s="11"/>
      <c r="BK26" s="11"/>
      <c r="BL26" s="11"/>
      <c r="BM26" s="11"/>
      <c r="BN26" s="11"/>
      <c r="BO26" s="11"/>
      <c r="BP26" s="11"/>
      <c r="BQ26" s="11"/>
      <c r="BR26" s="11"/>
      <c r="BS26" s="11"/>
      <c r="BT26" s="11"/>
      <c r="BU26" s="11"/>
      <c r="BV26" s="11"/>
      <c r="BW26" s="11"/>
      <c r="BX26" s="11"/>
      <c r="BY26" s="11"/>
      <c r="BZ26" s="11"/>
      <c r="CA26" s="11"/>
      <c r="CB26" s="11"/>
      <c r="CC26" s="11"/>
      <c r="CD26" s="11"/>
      <c r="CE26" s="11"/>
      <c r="CF26" s="11"/>
      <c r="CG26" s="11"/>
      <c r="CH26" s="11"/>
      <c r="CI26" s="11"/>
      <c r="CJ26" s="11"/>
      <c r="CK26" s="11"/>
      <c r="CL26" s="11"/>
      <c r="CM26" s="11"/>
      <c r="CN26" s="11"/>
    </row>
    <row r="27" spans="1:92" ht="15" customHeight="1" x14ac:dyDescent="0.25">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1"/>
      <c r="AZ27" s="11"/>
      <c r="BA27" s="11"/>
      <c r="BB27" s="11"/>
      <c r="BC27" s="11"/>
      <c r="BD27" s="11"/>
      <c r="BE27" s="11"/>
      <c r="BF27" s="11"/>
      <c r="BG27" s="11"/>
      <c r="BH27" s="11"/>
      <c r="BI27" s="11"/>
      <c r="BJ27" s="11"/>
      <c r="BK27" s="11"/>
      <c r="BL27" s="11"/>
      <c r="BM27" s="11"/>
      <c r="BN27" s="11"/>
      <c r="BO27" s="11"/>
      <c r="BP27" s="11"/>
      <c r="BQ27" s="11"/>
      <c r="BR27" s="11"/>
      <c r="BS27" s="11"/>
      <c r="BT27" s="11"/>
      <c r="BU27" s="11"/>
      <c r="BV27" s="11"/>
      <c r="BW27" s="11"/>
      <c r="BX27" s="11"/>
      <c r="BY27" s="11"/>
      <c r="BZ27" s="11"/>
      <c r="CA27" s="11"/>
      <c r="CB27" s="11"/>
      <c r="CC27" s="11"/>
      <c r="CD27" s="11"/>
      <c r="CE27" s="11"/>
      <c r="CF27" s="11"/>
      <c r="CG27" s="11"/>
      <c r="CH27" s="11"/>
      <c r="CI27" s="11"/>
      <c r="CJ27" s="11"/>
      <c r="CK27" s="11"/>
      <c r="CL27" s="11"/>
      <c r="CM27" s="11"/>
      <c r="CN27" s="11"/>
    </row>
    <row r="28" spans="1:92" ht="15" customHeight="1" x14ac:dyDescent="0.25">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11"/>
      <c r="AL28" s="11"/>
      <c r="AM28" s="11"/>
      <c r="AN28" s="11"/>
      <c r="AO28" s="11"/>
      <c r="AP28" s="11"/>
      <c r="AQ28" s="11"/>
      <c r="AR28" s="11"/>
      <c r="AS28" s="11"/>
      <c r="AT28" s="11"/>
      <c r="AU28" s="11"/>
      <c r="AV28" s="11"/>
      <c r="AW28" s="11"/>
      <c r="AX28" s="11"/>
      <c r="AY28" s="11"/>
      <c r="AZ28" s="11"/>
      <c r="BA28" s="11"/>
      <c r="BB28" s="11"/>
      <c r="BC28" s="11"/>
      <c r="BD28" s="11"/>
      <c r="BE28" s="11"/>
      <c r="BF28" s="11"/>
      <c r="BG28" s="11"/>
      <c r="BH28" s="11"/>
      <c r="BI28" s="11"/>
      <c r="BJ28" s="11"/>
      <c r="BK28" s="11"/>
      <c r="BL28" s="11"/>
      <c r="BM28" s="11"/>
      <c r="BN28" s="11"/>
      <c r="BO28" s="11"/>
      <c r="BP28" s="11"/>
      <c r="BQ28" s="11"/>
      <c r="BR28" s="11"/>
      <c r="BS28" s="11"/>
      <c r="BT28" s="11"/>
      <c r="BU28" s="11"/>
      <c r="BV28" s="11"/>
      <c r="BW28" s="11"/>
      <c r="BX28" s="11"/>
      <c r="BY28" s="11"/>
      <c r="BZ28" s="11"/>
      <c r="CA28" s="11"/>
      <c r="CB28" s="11"/>
      <c r="CC28" s="11"/>
      <c r="CD28" s="11"/>
      <c r="CE28" s="11"/>
      <c r="CF28" s="11"/>
      <c r="CG28" s="11"/>
      <c r="CH28" s="11"/>
      <c r="CI28" s="11"/>
      <c r="CJ28" s="11"/>
      <c r="CK28" s="11"/>
      <c r="CL28" s="11"/>
      <c r="CM28" s="11"/>
      <c r="CN28" s="11"/>
    </row>
    <row r="29" spans="1:92" ht="15" customHeight="1" x14ac:dyDescent="0.25">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11"/>
      <c r="AL29" s="11"/>
      <c r="AM29" s="11"/>
      <c r="AN29" s="11"/>
      <c r="AO29" s="11"/>
      <c r="AP29" s="11"/>
      <c r="AQ29" s="11"/>
      <c r="AR29" s="11"/>
      <c r="AS29" s="11"/>
      <c r="AT29" s="11"/>
      <c r="AU29" s="11"/>
      <c r="AV29" s="11"/>
      <c r="AW29" s="11"/>
      <c r="AX29" s="11"/>
      <c r="AY29" s="11"/>
      <c r="AZ29" s="11"/>
      <c r="BA29" s="11"/>
      <c r="BB29" s="11"/>
      <c r="BC29" s="11"/>
      <c r="BD29" s="11"/>
      <c r="BE29" s="11"/>
      <c r="BF29" s="11"/>
      <c r="BG29" s="11"/>
      <c r="BH29" s="11"/>
      <c r="BI29" s="11"/>
      <c r="BJ29" s="11"/>
      <c r="BK29" s="11"/>
      <c r="BL29" s="11"/>
      <c r="BM29" s="11"/>
      <c r="BN29" s="11"/>
      <c r="BO29" s="11"/>
      <c r="BP29" s="11"/>
      <c r="BQ29" s="11"/>
      <c r="BR29" s="11"/>
      <c r="BS29" s="11"/>
      <c r="BT29" s="11"/>
      <c r="BU29" s="11"/>
      <c r="BV29" s="11"/>
      <c r="BW29" s="11"/>
      <c r="BX29" s="11"/>
      <c r="BY29" s="11"/>
      <c r="BZ29" s="11"/>
      <c r="CA29" s="11"/>
      <c r="CB29" s="11"/>
      <c r="CC29" s="11"/>
      <c r="CD29" s="11"/>
      <c r="CE29" s="11"/>
      <c r="CF29" s="11"/>
      <c r="CG29" s="11"/>
      <c r="CH29" s="11"/>
      <c r="CI29" s="11"/>
      <c r="CJ29" s="11"/>
      <c r="CK29" s="11"/>
      <c r="CL29" s="11"/>
      <c r="CM29" s="11"/>
      <c r="CN29" s="11"/>
    </row>
    <row r="30" spans="1:92" ht="15" customHeight="1" x14ac:dyDescent="0.25">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1"/>
      <c r="AZ30" s="11"/>
      <c r="BA30" s="11"/>
      <c r="BB30" s="11"/>
      <c r="BC30" s="11"/>
      <c r="BD30" s="11"/>
      <c r="BE30" s="11"/>
      <c r="BF30" s="11"/>
      <c r="BG30" s="11"/>
      <c r="BH30" s="11"/>
      <c r="BI30" s="11"/>
      <c r="BJ30" s="11"/>
      <c r="BK30" s="11"/>
      <c r="BL30" s="11"/>
      <c r="BM30" s="11"/>
      <c r="BN30" s="11"/>
      <c r="BO30" s="11"/>
      <c r="BP30" s="11"/>
      <c r="BQ30" s="11"/>
      <c r="BR30" s="11"/>
      <c r="BS30" s="11"/>
      <c r="BT30" s="11"/>
      <c r="BU30" s="11"/>
      <c r="BV30" s="11"/>
      <c r="BW30" s="11"/>
      <c r="BX30" s="11"/>
      <c r="BY30" s="11"/>
      <c r="BZ30" s="11"/>
      <c r="CA30" s="11"/>
      <c r="CB30" s="11"/>
      <c r="CC30" s="11"/>
      <c r="CD30" s="11"/>
      <c r="CE30" s="11"/>
      <c r="CF30" s="11"/>
      <c r="CG30" s="11"/>
      <c r="CH30" s="11"/>
      <c r="CI30" s="11"/>
      <c r="CJ30" s="11"/>
      <c r="CK30" s="11"/>
      <c r="CL30" s="11"/>
      <c r="CM30" s="11"/>
      <c r="CN30" s="11"/>
    </row>
    <row r="31" spans="1:92" ht="15" customHeight="1" x14ac:dyDescent="0.25">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11"/>
      <c r="AL31" s="11"/>
      <c r="AM31" s="11"/>
      <c r="AN31" s="11"/>
      <c r="AO31" s="11"/>
      <c r="AP31" s="11"/>
      <c r="AQ31" s="11"/>
      <c r="AR31" s="11"/>
      <c r="AS31" s="11"/>
      <c r="AT31" s="11"/>
      <c r="AU31" s="11"/>
      <c r="AV31" s="11"/>
      <c r="AW31" s="11"/>
      <c r="AX31" s="11"/>
      <c r="AY31" s="11"/>
      <c r="AZ31" s="11"/>
      <c r="BA31" s="11"/>
      <c r="BB31" s="11"/>
      <c r="BC31" s="11"/>
      <c r="BD31" s="11"/>
      <c r="BE31" s="11"/>
      <c r="BF31" s="11"/>
      <c r="BG31" s="11"/>
      <c r="BH31" s="11"/>
      <c r="BI31" s="11"/>
      <c r="BJ31" s="11"/>
      <c r="BK31" s="11"/>
      <c r="BL31" s="11"/>
      <c r="BM31" s="11"/>
      <c r="BN31" s="11"/>
      <c r="BO31" s="11"/>
      <c r="BP31" s="11"/>
      <c r="BQ31" s="11"/>
      <c r="BR31" s="11"/>
      <c r="BS31" s="11"/>
      <c r="BT31" s="11"/>
      <c r="BU31" s="11"/>
      <c r="BV31" s="11"/>
      <c r="BW31" s="11"/>
      <c r="BX31" s="11"/>
      <c r="BY31" s="11"/>
      <c r="BZ31" s="11"/>
      <c r="CA31" s="11"/>
      <c r="CB31" s="11"/>
      <c r="CC31" s="11"/>
      <c r="CD31" s="11"/>
      <c r="CE31" s="11"/>
      <c r="CF31" s="11"/>
      <c r="CG31" s="11"/>
      <c r="CH31" s="11"/>
      <c r="CI31" s="11"/>
      <c r="CJ31" s="11"/>
      <c r="CK31" s="11"/>
      <c r="CL31" s="11"/>
      <c r="CM31" s="11"/>
      <c r="CN31" s="11"/>
    </row>
    <row r="32" spans="1:92" ht="15" customHeight="1" x14ac:dyDescent="0.25">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11"/>
      <c r="AL32" s="11"/>
      <c r="AM32" s="11"/>
      <c r="AN32" s="11"/>
      <c r="AO32" s="11"/>
      <c r="AP32" s="11"/>
      <c r="AQ32" s="11"/>
      <c r="AR32" s="11"/>
      <c r="AS32" s="11"/>
      <c r="AT32" s="11"/>
      <c r="AU32" s="11"/>
      <c r="AV32" s="11"/>
      <c r="AW32" s="11"/>
      <c r="AX32" s="11"/>
      <c r="AY32" s="11"/>
      <c r="AZ32" s="11"/>
      <c r="BA32" s="11"/>
      <c r="BB32" s="11"/>
      <c r="BC32" s="11"/>
      <c r="BD32" s="11"/>
      <c r="BE32" s="11"/>
      <c r="BF32" s="11"/>
      <c r="BG32" s="11"/>
      <c r="BH32" s="11"/>
      <c r="BI32" s="11"/>
      <c r="BJ32" s="11"/>
      <c r="BK32" s="11"/>
      <c r="BL32" s="11"/>
      <c r="BM32" s="11"/>
      <c r="BN32" s="11"/>
      <c r="BO32" s="11"/>
      <c r="BP32" s="11"/>
      <c r="BQ32" s="11"/>
      <c r="BR32" s="11"/>
      <c r="BS32" s="11"/>
      <c r="BT32" s="11"/>
      <c r="BU32" s="11"/>
      <c r="BV32" s="11"/>
      <c r="BW32" s="11"/>
      <c r="BX32" s="11"/>
      <c r="BY32" s="11"/>
      <c r="BZ32" s="11"/>
      <c r="CA32" s="11"/>
      <c r="CB32" s="11"/>
      <c r="CC32" s="11"/>
      <c r="CD32" s="11"/>
      <c r="CE32" s="11"/>
      <c r="CF32" s="11"/>
      <c r="CG32" s="11"/>
      <c r="CH32" s="11"/>
      <c r="CI32" s="11"/>
      <c r="CJ32" s="11"/>
      <c r="CK32" s="11"/>
      <c r="CL32" s="11"/>
      <c r="CM32" s="11"/>
      <c r="CN32" s="11"/>
    </row>
    <row r="33" spans="1:92" ht="15" customHeight="1" x14ac:dyDescent="0.25">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11"/>
      <c r="AL33" s="11"/>
      <c r="AM33" s="11"/>
      <c r="AN33" s="11"/>
      <c r="AO33" s="11"/>
      <c r="AP33" s="11"/>
      <c r="AQ33" s="11"/>
      <c r="AR33" s="11"/>
      <c r="AS33" s="11"/>
      <c r="AT33" s="11"/>
      <c r="AU33" s="11"/>
      <c r="AV33" s="11"/>
      <c r="AW33" s="11"/>
      <c r="AX33" s="11"/>
      <c r="AY33" s="11"/>
      <c r="AZ33" s="11"/>
      <c r="BA33" s="11"/>
      <c r="BB33" s="11"/>
      <c r="BC33" s="11"/>
      <c r="BD33" s="11"/>
      <c r="BE33" s="11"/>
      <c r="BF33" s="11"/>
      <c r="BG33" s="11"/>
      <c r="BH33" s="11"/>
      <c r="BI33" s="11"/>
      <c r="BJ33" s="11"/>
      <c r="BK33" s="11"/>
      <c r="BL33" s="11"/>
      <c r="BM33" s="11"/>
      <c r="BN33" s="11"/>
      <c r="BO33" s="11"/>
      <c r="BP33" s="11"/>
      <c r="BQ33" s="11"/>
      <c r="BR33" s="11"/>
      <c r="BS33" s="11"/>
      <c r="BT33" s="11"/>
      <c r="BU33" s="11"/>
      <c r="BV33" s="11"/>
      <c r="BW33" s="11"/>
      <c r="BX33" s="11"/>
      <c r="BY33" s="11"/>
      <c r="BZ33" s="11"/>
      <c r="CA33" s="11"/>
      <c r="CB33" s="11"/>
      <c r="CC33" s="11"/>
      <c r="CD33" s="11"/>
      <c r="CE33" s="11"/>
      <c r="CF33" s="11"/>
      <c r="CG33" s="11"/>
      <c r="CH33" s="11"/>
      <c r="CI33" s="11"/>
      <c r="CJ33" s="11"/>
      <c r="CK33" s="11"/>
      <c r="CL33" s="11"/>
      <c r="CM33" s="11"/>
      <c r="CN33" s="11"/>
    </row>
    <row r="34" spans="1:92" ht="15" customHeight="1" x14ac:dyDescent="0.25">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11"/>
      <c r="AL34" s="11"/>
      <c r="AM34" s="11"/>
      <c r="AN34" s="11"/>
      <c r="AO34" s="11"/>
      <c r="AP34" s="11"/>
      <c r="AQ34" s="11"/>
      <c r="AR34" s="11"/>
      <c r="AS34" s="11"/>
      <c r="AT34" s="11"/>
      <c r="AU34" s="11"/>
      <c r="AV34" s="11"/>
      <c r="AW34" s="11"/>
      <c r="AX34" s="11"/>
      <c r="AY34" s="11"/>
      <c r="AZ34" s="11"/>
      <c r="BA34" s="11"/>
      <c r="BB34" s="11"/>
      <c r="BC34" s="11"/>
      <c r="BD34" s="11"/>
      <c r="BE34" s="11"/>
      <c r="BF34" s="11"/>
      <c r="BG34" s="11"/>
      <c r="BH34" s="11"/>
      <c r="BI34" s="11"/>
      <c r="BJ34" s="11"/>
      <c r="BK34" s="11"/>
      <c r="BL34" s="11"/>
      <c r="BM34" s="11"/>
      <c r="BN34" s="11"/>
      <c r="BO34" s="11"/>
      <c r="BP34" s="11"/>
      <c r="BQ34" s="11"/>
      <c r="BR34" s="11"/>
      <c r="BS34" s="11"/>
      <c r="BT34" s="11"/>
      <c r="BU34" s="11"/>
      <c r="BV34" s="11"/>
      <c r="BW34" s="11"/>
      <c r="BX34" s="11"/>
      <c r="BY34" s="11"/>
      <c r="BZ34" s="11"/>
      <c r="CA34" s="11"/>
      <c r="CB34" s="11"/>
      <c r="CC34" s="11"/>
      <c r="CD34" s="11"/>
      <c r="CE34" s="11"/>
      <c r="CF34" s="11"/>
      <c r="CG34" s="11"/>
      <c r="CH34" s="11"/>
      <c r="CI34" s="11"/>
      <c r="CJ34" s="11"/>
      <c r="CK34" s="11"/>
      <c r="CL34" s="11"/>
      <c r="CM34" s="11"/>
      <c r="CN34" s="11"/>
    </row>
    <row r="35" spans="1:92" ht="15" customHeight="1" x14ac:dyDescent="0.25">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c r="AL35" s="11"/>
      <c r="AM35" s="11"/>
      <c r="AN35" s="11"/>
      <c r="AO35" s="11"/>
      <c r="AP35" s="11"/>
      <c r="AQ35" s="11"/>
      <c r="AR35" s="11"/>
      <c r="AS35" s="11"/>
      <c r="AT35" s="11"/>
      <c r="AU35" s="11"/>
      <c r="AV35" s="11"/>
      <c r="AW35" s="11"/>
      <c r="AX35" s="11"/>
      <c r="AY35" s="11"/>
      <c r="AZ35" s="11"/>
      <c r="BA35" s="11"/>
      <c r="BB35" s="11"/>
      <c r="BC35" s="11"/>
      <c r="BD35" s="11"/>
      <c r="BE35" s="11"/>
      <c r="BF35" s="11"/>
      <c r="BG35" s="11"/>
      <c r="BH35" s="11"/>
      <c r="BI35" s="11"/>
      <c r="BJ35" s="11"/>
      <c r="BK35" s="11"/>
      <c r="BL35" s="11"/>
      <c r="BM35" s="11"/>
      <c r="BN35" s="11"/>
      <c r="BO35" s="11"/>
      <c r="BP35" s="11"/>
      <c r="BQ35" s="11"/>
      <c r="BR35" s="11"/>
      <c r="BS35" s="11"/>
      <c r="BT35" s="11"/>
      <c r="BU35" s="11"/>
      <c r="BV35" s="11"/>
      <c r="BW35" s="11"/>
      <c r="BX35" s="11"/>
      <c r="BY35" s="11"/>
      <c r="BZ35" s="11"/>
      <c r="CA35" s="11"/>
      <c r="CB35" s="11"/>
      <c r="CC35" s="11"/>
      <c r="CD35" s="11"/>
      <c r="CE35" s="11"/>
      <c r="CF35" s="11"/>
      <c r="CG35" s="11"/>
      <c r="CH35" s="11"/>
      <c r="CI35" s="11"/>
      <c r="CJ35" s="11"/>
      <c r="CK35" s="11"/>
      <c r="CL35" s="11"/>
      <c r="CM35" s="11"/>
      <c r="CN35" s="11"/>
    </row>
    <row r="36" spans="1:92" ht="15" customHeight="1" x14ac:dyDescent="0.25">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c r="AV36" s="11"/>
      <c r="AW36" s="11"/>
      <c r="AX36" s="11"/>
      <c r="AY36" s="11"/>
      <c r="AZ36" s="11"/>
      <c r="BA36" s="11"/>
      <c r="BB36" s="11"/>
      <c r="BC36" s="11"/>
      <c r="BD36" s="11"/>
      <c r="BE36" s="11"/>
      <c r="BF36" s="11"/>
      <c r="BG36" s="11"/>
      <c r="BH36" s="11"/>
      <c r="BI36" s="11"/>
      <c r="BJ36" s="11"/>
      <c r="BK36" s="11"/>
      <c r="BL36" s="11"/>
      <c r="BM36" s="11"/>
      <c r="BN36" s="11"/>
      <c r="BO36" s="11"/>
      <c r="BP36" s="11"/>
      <c r="BQ36" s="11"/>
      <c r="BR36" s="11"/>
      <c r="BS36" s="11"/>
      <c r="BT36" s="11"/>
      <c r="BU36" s="11"/>
      <c r="BV36" s="11"/>
      <c r="BW36" s="11"/>
      <c r="BX36" s="11"/>
      <c r="BY36" s="11"/>
      <c r="BZ36" s="11"/>
      <c r="CA36" s="11"/>
      <c r="CB36" s="11"/>
      <c r="CC36" s="11"/>
      <c r="CD36" s="11"/>
      <c r="CE36" s="11"/>
      <c r="CF36" s="11"/>
      <c r="CG36" s="11"/>
      <c r="CH36" s="11"/>
      <c r="CI36" s="11"/>
      <c r="CJ36" s="11"/>
      <c r="CK36" s="11"/>
      <c r="CL36" s="11"/>
      <c r="CM36" s="11"/>
      <c r="CN36" s="11"/>
    </row>
    <row r="37" spans="1:92" ht="15" customHeight="1" x14ac:dyDescent="0.25">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c r="AL37" s="11"/>
      <c r="AM37" s="11"/>
      <c r="AN37" s="11"/>
      <c r="AO37" s="11"/>
      <c r="AP37" s="11"/>
      <c r="AQ37" s="11"/>
      <c r="AR37" s="11"/>
      <c r="AS37" s="11"/>
      <c r="AT37" s="11"/>
      <c r="AU37" s="11"/>
      <c r="AV37" s="11"/>
      <c r="AW37" s="11"/>
      <c r="AX37" s="11"/>
      <c r="AY37" s="11"/>
      <c r="AZ37" s="11"/>
      <c r="BA37" s="11"/>
      <c r="BB37" s="11"/>
      <c r="BC37" s="11"/>
      <c r="BD37" s="11"/>
      <c r="BE37" s="11"/>
      <c r="BF37" s="11"/>
      <c r="BG37" s="11"/>
      <c r="BH37" s="11"/>
      <c r="BI37" s="11"/>
      <c r="BJ37" s="11"/>
      <c r="BK37" s="11"/>
      <c r="BL37" s="11"/>
      <c r="BM37" s="11"/>
      <c r="BN37" s="11"/>
      <c r="BO37" s="11"/>
      <c r="BP37" s="11"/>
      <c r="BQ37" s="11"/>
      <c r="BR37" s="11"/>
      <c r="BS37" s="11"/>
      <c r="BT37" s="11"/>
      <c r="BU37" s="11"/>
      <c r="BV37" s="11"/>
      <c r="BW37" s="11"/>
      <c r="BX37" s="11"/>
      <c r="BY37" s="11"/>
      <c r="BZ37" s="11"/>
      <c r="CA37" s="11"/>
      <c r="CB37" s="11"/>
      <c r="CC37" s="11"/>
      <c r="CD37" s="11"/>
      <c r="CE37" s="11"/>
      <c r="CF37" s="11"/>
      <c r="CG37" s="11"/>
      <c r="CH37" s="11"/>
      <c r="CI37" s="11"/>
      <c r="CJ37" s="11"/>
      <c r="CK37" s="11"/>
      <c r="CL37" s="11"/>
      <c r="CM37" s="11"/>
      <c r="CN37" s="11"/>
    </row>
    <row r="38" spans="1:92" ht="15" customHeight="1" x14ac:dyDescent="0.25">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c r="AX38" s="11"/>
      <c r="AY38" s="11"/>
      <c r="AZ38" s="11"/>
      <c r="BA38" s="11"/>
      <c r="BB38" s="11"/>
      <c r="BC38" s="11"/>
      <c r="BD38" s="11"/>
      <c r="BE38" s="11"/>
      <c r="BF38" s="11"/>
      <c r="BG38" s="11"/>
      <c r="BH38" s="11"/>
      <c r="BI38" s="11"/>
      <c r="BJ38" s="11"/>
      <c r="BK38" s="11"/>
      <c r="BL38" s="11"/>
      <c r="BM38" s="11"/>
      <c r="BN38" s="11"/>
      <c r="BO38" s="11"/>
      <c r="BP38" s="11"/>
      <c r="BQ38" s="11"/>
      <c r="BR38" s="11"/>
      <c r="BS38" s="11"/>
      <c r="BT38" s="11"/>
      <c r="BU38" s="11"/>
      <c r="BV38" s="11"/>
      <c r="BW38" s="11"/>
      <c r="BX38" s="11"/>
      <c r="BY38" s="11"/>
      <c r="BZ38" s="11"/>
      <c r="CA38" s="11"/>
      <c r="CB38" s="11"/>
      <c r="CC38" s="11"/>
      <c r="CD38" s="11"/>
      <c r="CE38" s="11"/>
      <c r="CF38" s="11"/>
      <c r="CG38" s="11"/>
      <c r="CH38" s="11"/>
      <c r="CI38" s="11"/>
      <c r="CJ38" s="11"/>
      <c r="CK38" s="11"/>
      <c r="CL38" s="11"/>
      <c r="CM38" s="11"/>
      <c r="CN38" s="11"/>
    </row>
    <row r="39" spans="1:92" ht="15" customHeight="1" x14ac:dyDescent="0.25">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1"/>
      <c r="AN39" s="11"/>
      <c r="AO39" s="11"/>
      <c r="AP39" s="11"/>
      <c r="AQ39" s="11"/>
      <c r="AR39" s="11"/>
      <c r="AS39" s="11"/>
      <c r="AT39" s="11"/>
      <c r="AU39" s="11"/>
      <c r="AV39" s="11"/>
      <c r="AW39" s="11"/>
      <c r="AX39" s="11"/>
      <c r="AY39" s="11"/>
      <c r="AZ39" s="11"/>
      <c r="BA39" s="11"/>
      <c r="BB39" s="11"/>
      <c r="BC39" s="11"/>
      <c r="BD39" s="11"/>
      <c r="BE39" s="11"/>
      <c r="BF39" s="11"/>
      <c r="BG39" s="11"/>
      <c r="BH39" s="11"/>
      <c r="BI39" s="11"/>
      <c r="BJ39" s="11"/>
      <c r="BK39" s="11"/>
      <c r="BL39" s="11"/>
      <c r="BM39" s="11"/>
      <c r="BN39" s="11"/>
      <c r="BO39" s="11"/>
      <c r="BP39" s="11"/>
      <c r="BQ39" s="11"/>
      <c r="BR39" s="11"/>
      <c r="BS39" s="11"/>
      <c r="BT39" s="11"/>
      <c r="BU39" s="11"/>
      <c r="BV39" s="11"/>
      <c r="BW39" s="11"/>
      <c r="BX39" s="11"/>
      <c r="BY39" s="11"/>
      <c r="BZ39" s="11"/>
      <c r="CA39" s="11"/>
      <c r="CB39" s="11"/>
      <c r="CC39" s="11"/>
      <c r="CD39" s="11"/>
      <c r="CE39" s="11"/>
      <c r="CF39" s="11"/>
      <c r="CG39" s="11"/>
      <c r="CH39" s="11"/>
      <c r="CI39" s="11"/>
      <c r="CJ39" s="11"/>
      <c r="CK39" s="11"/>
      <c r="CL39" s="11"/>
      <c r="CM39" s="11"/>
      <c r="CN39" s="11"/>
    </row>
    <row r="40" spans="1:92" ht="15" customHeight="1" x14ac:dyDescent="0.25">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1"/>
      <c r="AN40" s="11"/>
      <c r="AO40" s="11"/>
      <c r="AP40" s="11"/>
      <c r="AQ40" s="11"/>
      <c r="AR40" s="11"/>
      <c r="AS40" s="11"/>
      <c r="AT40" s="11"/>
      <c r="AU40" s="11"/>
      <c r="AV40" s="11"/>
      <c r="AW40" s="11"/>
      <c r="AX40" s="11"/>
      <c r="AY40" s="11"/>
      <c r="AZ40" s="11"/>
      <c r="BA40" s="11"/>
      <c r="BB40" s="11"/>
      <c r="BC40" s="11"/>
      <c r="BD40" s="11"/>
      <c r="BE40" s="11"/>
      <c r="BF40" s="11"/>
      <c r="BG40" s="11"/>
      <c r="BH40" s="11"/>
      <c r="BI40" s="11"/>
      <c r="BJ40" s="11"/>
      <c r="BK40" s="11"/>
      <c r="BL40" s="11"/>
      <c r="BM40" s="11"/>
      <c r="BN40" s="11"/>
      <c r="BO40" s="11"/>
      <c r="BP40" s="11"/>
      <c r="BQ40" s="11"/>
      <c r="BR40" s="11"/>
      <c r="BS40" s="11"/>
      <c r="BT40" s="11"/>
      <c r="BU40" s="11"/>
      <c r="BV40" s="11"/>
      <c r="BW40" s="11"/>
      <c r="BX40" s="11"/>
      <c r="BY40" s="11"/>
      <c r="BZ40" s="11"/>
      <c r="CA40" s="11"/>
      <c r="CB40" s="11"/>
      <c r="CC40" s="11"/>
      <c r="CD40" s="11"/>
      <c r="CE40" s="11"/>
      <c r="CF40" s="11"/>
      <c r="CG40" s="11"/>
      <c r="CH40" s="11"/>
      <c r="CI40" s="11"/>
      <c r="CJ40" s="11"/>
      <c r="CK40" s="11"/>
      <c r="CL40" s="11"/>
      <c r="CM40" s="11"/>
      <c r="CN40" s="11"/>
    </row>
    <row r="41" spans="1:92" ht="15" customHeight="1" x14ac:dyDescent="0.25">
      <c r="A41" s="11"/>
      <c r="B41" s="18"/>
      <c r="C41" s="19"/>
      <c r="D41" s="19"/>
      <c r="E41" s="19"/>
      <c r="F41" s="19"/>
      <c r="G41" s="19"/>
      <c r="H41" s="19"/>
      <c r="I41" s="19"/>
      <c r="J41" s="19"/>
      <c r="K41" s="19"/>
      <c r="L41" s="19"/>
      <c r="M41" s="19"/>
      <c r="N41" s="19"/>
      <c r="O41" s="19"/>
      <c r="P41" s="19"/>
      <c r="Q41" s="19"/>
      <c r="R41" s="19"/>
      <c r="S41" s="19"/>
      <c r="T41" s="19"/>
      <c r="U41" s="19"/>
      <c r="V41" s="19"/>
      <c r="W41" s="19"/>
      <c r="X41" s="19"/>
      <c r="Y41" s="19"/>
      <c r="Z41" s="19"/>
      <c r="AA41" s="19"/>
      <c r="AB41" s="19"/>
      <c r="AC41" s="19"/>
      <c r="AD41" s="19"/>
      <c r="AE41" s="19"/>
      <c r="AF41" s="19"/>
      <c r="AG41" s="19"/>
      <c r="AH41" s="19"/>
      <c r="AI41" s="19"/>
      <c r="AJ41" s="19"/>
      <c r="AK41" s="19"/>
      <c r="AL41" s="19"/>
      <c r="AM41" s="19"/>
      <c r="AN41" s="19"/>
      <c r="AO41" s="19"/>
      <c r="AP41" s="19"/>
      <c r="AQ41" s="19"/>
      <c r="AR41" s="19"/>
      <c r="AS41" s="19"/>
      <c r="AT41" s="19"/>
      <c r="AU41" s="19"/>
      <c r="AV41" s="19"/>
      <c r="AW41" s="19"/>
      <c r="AX41" s="19"/>
      <c r="AY41" s="19"/>
      <c r="AZ41" s="19"/>
      <c r="BA41" s="19"/>
      <c r="BB41" s="19"/>
      <c r="BC41" s="19"/>
      <c r="BD41" s="19"/>
      <c r="BE41" s="19"/>
      <c r="BF41" s="19"/>
      <c r="BG41" s="19"/>
      <c r="BH41" s="19"/>
      <c r="BI41" s="19"/>
      <c r="BJ41" s="19"/>
      <c r="BK41" s="19"/>
      <c r="BL41" s="19"/>
      <c r="BM41" s="19"/>
      <c r="BN41" s="19"/>
      <c r="BO41" s="19"/>
      <c r="BP41" s="19"/>
      <c r="BQ41" s="19"/>
      <c r="BR41" s="19"/>
      <c r="BS41" s="19"/>
      <c r="BT41" s="19"/>
      <c r="BU41" s="19"/>
      <c r="BV41" s="19"/>
      <c r="BW41" s="19"/>
      <c r="BX41" s="19"/>
      <c r="BY41" s="19"/>
      <c r="BZ41" s="19"/>
      <c r="CA41" s="19"/>
      <c r="CB41" s="19"/>
      <c r="CC41" s="19"/>
      <c r="CD41" s="19"/>
      <c r="CE41" s="19"/>
      <c r="CF41" s="19"/>
      <c r="CG41" s="19"/>
      <c r="CH41" s="19"/>
      <c r="CI41" s="19"/>
      <c r="CJ41" s="19"/>
      <c r="CK41" s="19"/>
      <c r="CL41" s="19"/>
      <c r="CM41" s="20"/>
      <c r="CN41" s="11"/>
    </row>
    <row r="42" spans="1:92" ht="15" customHeight="1" x14ac:dyDescent="0.25">
      <c r="A42" s="11"/>
      <c r="B42" s="21"/>
      <c r="C42" s="35" t="s">
        <v>762</v>
      </c>
      <c r="D42" s="35"/>
      <c r="E42" s="35"/>
      <c r="F42" s="41">
        <f>Pivots!$F$28</f>
        <v>700</v>
      </c>
      <c r="G42" s="41"/>
      <c r="H42" s="41"/>
      <c r="I42" s="41"/>
      <c r="J42" s="41"/>
      <c r="K42" s="41"/>
      <c r="L42" s="41"/>
      <c r="M42" s="41"/>
      <c r="N42" s="41"/>
      <c r="O42" s="41"/>
      <c r="P42" s="41"/>
      <c r="Q42" s="41"/>
      <c r="R42" s="41"/>
      <c r="S42" s="17"/>
      <c r="T42" s="35" t="s">
        <v>764</v>
      </c>
      <c r="U42" s="35"/>
      <c r="V42" s="35"/>
      <c r="W42" s="42">
        <f>Pivots!$C$28</f>
        <v>31622.899999999994</v>
      </c>
      <c r="X42" s="42"/>
      <c r="Y42" s="42"/>
      <c r="Z42" s="42"/>
      <c r="AA42" s="42"/>
      <c r="AB42" s="42"/>
      <c r="AC42" s="42"/>
      <c r="AD42" s="42"/>
      <c r="AE42" s="42"/>
      <c r="AF42" s="42"/>
      <c r="AG42" s="42"/>
      <c r="AH42" s="42"/>
      <c r="AI42" s="42"/>
      <c r="AJ42" s="17"/>
      <c r="AK42" s="35" t="s">
        <v>765</v>
      </c>
      <c r="AL42" s="35"/>
      <c r="AM42" s="35"/>
      <c r="AN42" s="44">
        <f>Pivots!$R$28</f>
        <v>610612</v>
      </c>
      <c r="AO42" s="44"/>
      <c r="AP42" s="44"/>
      <c r="AQ42" s="44"/>
      <c r="AR42" s="44"/>
      <c r="AS42" s="44"/>
      <c r="AT42" s="44"/>
      <c r="AU42" s="44"/>
      <c r="AV42" s="44"/>
      <c r="AW42" s="44"/>
      <c r="AX42" s="44"/>
      <c r="AY42" s="44"/>
      <c r="AZ42" s="44"/>
      <c r="BA42" s="17"/>
      <c r="BB42" s="35" t="s">
        <v>767</v>
      </c>
      <c r="BC42" s="35"/>
      <c r="BD42" s="35"/>
      <c r="BE42" s="36">
        <f>Pivots!$L$28/1000</f>
        <v>225.66989999999998</v>
      </c>
      <c r="BF42" s="36"/>
      <c r="BG42" s="36"/>
      <c r="BH42" s="36"/>
      <c r="BI42" s="36"/>
      <c r="BJ42" s="36"/>
      <c r="BK42" s="36"/>
      <c r="BL42" s="36"/>
      <c r="BM42" s="36"/>
      <c r="BN42" s="36"/>
      <c r="BO42" s="36"/>
      <c r="BP42" s="36"/>
      <c r="BQ42" s="36"/>
      <c r="BR42" s="17"/>
      <c r="BS42" s="35" t="s">
        <v>769</v>
      </c>
      <c r="BT42" s="35"/>
      <c r="BU42" s="35"/>
      <c r="BV42" s="43">
        <f>Pivots!$O$28</f>
        <v>494.1</v>
      </c>
      <c r="BW42" s="43"/>
      <c r="BX42" s="43"/>
      <c r="BY42" s="43"/>
      <c r="BZ42" s="43"/>
      <c r="CA42" s="43"/>
      <c r="CB42" s="43"/>
      <c r="CC42" s="43"/>
      <c r="CD42" s="43"/>
      <c r="CE42" s="43"/>
      <c r="CF42" s="43"/>
      <c r="CG42" s="43"/>
      <c r="CH42" s="43"/>
      <c r="CI42" s="17"/>
      <c r="CJ42" s="17"/>
      <c r="CK42" s="17"/>
      <c r="CL42" s="17"/>
      <c r="CM42" s="22"/>
      <c r="CN42" s="11"/>
    </row>
    <row r="43" spans="1:92" ht="15" customHeight="1" x14ac:dyDescent="0.25">
      <c r="A43" s="11"/>
      <c r="B43" s="21"/>
      <c r="C43" s="35"/>
      <c r="D43" s="35"/>
      <c r="E43" s="35"/>
      <c r="F43" s="41"/>
      <c r="G43" s="41"/>
      <c r="H43" s="41"/>
      <c r="I43" s="41"/>
      <c r="J43" s="41"/>
      <c r="K43" s="41"/>
      <c r="L43" s="41"/>
      <c r="M43" s="41"/>
      <c r="N43" s="41"/>
      <c r="O43" s="41"/>
      <c r="P43" s="41"/>
      <c r="Q43" s="41"/>
      <c r="R43" s="41"/>
      <c r="S43" s="17"/>
      <c r="T43" s="35"/>
      <c r="U43" s="35"/>
      <c r="V43" s="35"/>
      <c r="W43" s="42"/>
      <c r="X43" s="42"/>
      <c r="Y43" s="42"/>
      <c r="Z43" s="42"/>
      <c r="AA43" s="42"/>
      <c r="AB43" s="42"/>
      <c r="AC43" s="42"/>
      <c r="AD43" s="42"/>
      <c r="AE43" s="42"/>
      <c r="AF43" s="42"/>
      <c r="AG43" s="42"/>
      <c r="AH43" s="42"/>
      <c r="AI43" s="42"/>
      <c r="AJ43" s="17"/>
      <c r="AK43" s="35"/>
      <c r="AL43" s="35"/>
      <c r="AM43" s="35"/>
      <c r="AN43" s="44"/>
      <c r="AO43" s="44"/>
      <c r="AP43" s="44"/>
      <c r="AQ43" s="44"/>
      <c r="AR43" s="44"/>
      <c r="AS43" s="44"/>
      <c r="AT43" s="44"/>
      <c r="AU43" s="44"/>
      <c r="AV43" s="44"/>
      <c r="AW43" s="44"/>
      <c r="AX43" s="44"/>
      <c r="AY43" s="44"/>
      <c r="AZ43" s="44"/>
      <c r="BA43" s="17"/>
      <c r="BB43" s="35"/>
      <c r="BC43" s="35"/>
      <c r="BD43" s="35"/>
      <c r="BE43" s="36"/>
      <c r="BF43" s="36"/>
      <c r="BG43" s="36"/>
      <c r="BH43" s="36"/>
      <c r="BI43" s="36"/>
      <c r="BJ43" s="36"/>
      <c r="BK43" s="36"/>
      <c r="BL43" s="36"/>
      <c r="BM43" s="36"/>
      <c r="BN43" s="36"/>
      <c r="BO43" s="36"/>
      <c r="BP43" s="36"/>
      <c r="BQ43" s="36"/>
      <c r="BR43" s="17"/>
      <c r="BS43" s="35"/>
      <c r="BT43" s="35"/>
      <c r="BU43" s="35"/>
      <c r="BV43" s="43"/>
      <c r="BW43" s="43"/>
      <c r="BX43" s="43"/>
      <c r="BY43" s="43"/>
      <c r="BZ43" s="43"/>
      <c r="CA43" s="43"/>
      <c r="CB43" s="43"/>
      <c r="CC43" s="43"/>
      <c r="CD43" s="43"/>
      <c r="CE43" s="43"/>
      <c r="CF43" s="43"/>
      <c r="CG43" s="43"/>
      <c r="CH43" s="43"/>
      <c r="CI43" s="17"/>
      <c r="CJ43" s="17"/>
      <c r="CK43" s="17"/>
      <c r="CL43" s="17"/>
      <c r="CM43" s="22"/>
      <c r="CN43" s="11"/>
    </row>
    <row r="44" spans="1:92" ht="15" customHeight="1" x14ac:dyDescent="0.25">
      <c r="A44" s="11"/>
      <c r="B44" s="21"/>
      <c r="C44" s="35"/>
      <c r="D44" s="35"/>
      <c r="E44" s="35"/>
      <c r="F44" s="34" t="s">
        <v>763</v>
      </c>
      <c r="G44" s="34"/>
      <c r="H44" s="34"/>
      <c r="I44" s="34"/>
      <c r="J44" s="34"/>
      <c r="K44" s="34"/>
      <c r="L44" s="34"/>
      <c r="M44" s="34"/>
      <c r="N44" s="34"/>
      <c r="O44" s="34"/>
      <c r="P44" s="34"/>
      <c r="Q44" s="34"/>
      <c r="R44" s="34"/>
      <c r="S44" s="17"/>
      <c r="T44" s="35"/>
      <c r="U44" s="35"/>
      <c r="V44" s="35"/>
      <c r="W44" s="34" t="s">
        <v>753</v>
      </c>
      <c r="X44" s="34"/>
      <c r="Y44" s="34"/>
      <c r="Z44" s="34"/>
      <c r="AA44" s="34"/>
      <c r="AB44" s="34"/>
      <c r="AC44" s="34"/>
      <c r="AD44" s="34"/>
      <c r="AE44" s="34"/>
      <c r="AF44" s="34"/>
      <c r="AG44" s="34"/>
      <c r="AH44" s="34"/>
      <c r="AI44" s="34"/>
      <c r="AJ44" s="17"/>
      <c r="AK44" s="35"/>
      <c r="AL44" s="35"/>
      <c r="AM44" s="35"/>
      <c r="AN44" s="34" t="s">
        <v>766</v>
      </c>
      <c r="AO44" s="34"/>
      <c r="AP44" s="34"/>
      <c r="AQ44" s="34"/>
      <c r="AR44" s="34"/>
      <c r="AS44" s="34"/>
      <c r="AT44" s="34"/>
      <c r="AU44" s="34"/>
      <c r="AV44" s="34"/>
      <c r="AW44" s="34"/>
      <c r="AX44" s="34"/>
      <c r="AY44" s="34"/>
      <c r="AZ44" s="34"/>
      <c r="BA44" s="17"/>
      <c r="BB44" s="35"/>
      <c r="BC44" s="35"/>
      <c r="BD44" s="35"/>
      <c r="BE44" s="34" t="s">
        <v>768</v>
      </c>
      <c r="BF44" s="34"/>
      <c r="BG44" s="34"/>
      <c r="BH44" s="34"/>
      <c r="BI44" s="34"/>
      <c r="BJ44" s="34"/>
      <c r="BK44" s="34"/>
      <c r="BL44" s="34"/>
      <c r="BM44" s="34"/>
      <c r="BN44" s="34"/>
      <c r="BO44" s="34"/>
      <c r="BP44" s="34"/>
      <c r="BQ44" s="34"/>
      <c r="BR44" s="17"/>
      <c r="BS44" s="35"/>
      <c r="BT44" s="35"/>
      <c r="BU44" s="35"/>
      <c r="BV44" s="34" t="s">
        <v>770</v>
      </c>
      <c r="BW44" s="34"/>
      <c r="BX44" s="34"/>
      <c r="BY44" s="34"/>
      <c r="BZ44" s="34"/>
      <c r="CA44" s="34"/>
      <c r="CB44" s="34"/>
      <c r="CC44" s="34"/>
      <c r="CD44" s="34"/>
      <c r="CE44" s="34"/>
      <c r="CF44" s="34"/>
      <c r="CG44" s="34"/>
      <c r="CH44" s="34"/>
      <c r="CI44" s="17"/>
      <c r="CJ44" s="17"/>
      <c r="CK44" s="17"/>
      <c r="CL44" s="17"/>
      <c r="CM44" s="22"/>
      <c r="CN44" s="11"/>
    </row>
    <row r="45" spans="1:92" ht="15" customHeight="1" x14ac:dyDescent="0.25">
      <c r="A45" s="11"/>
      <c r="B45" s="21"/>
      <c r="C45" s="17"/>
      <c r="D45" s="17"/>
      <c r="E45" s="17"/>
      <c r="F45" s="34"/>
      <c r="G45" s="34"/>
      <c r="H45" s="34"/>
      <c r="I45" s="34"/>
      <c r="J45" s="34"/>
      <c r="K45" s="34"/>
      <c r="L45" s="34"/>
      <c r="M45" s="34"/>
      <c r="N45" s="34"/>
      <c r="O45" s="34"/>
      <c r="P45" s="34"/>
      <c r="Q45" s="34"/>
      <c r="R45" s="34"/>
      <c r="S45" s="17"/>
      <c r="T45" s="17"/>
      <c r="U45" s="17"/>
      <c r="V45" s="17"/>
      <c r="W45" s="34"/>
      <c r="X45" s="34"/>
      <c r="Y45" s="34"/>
      <c r="Z45" s="34"/>
      <c r="AA45" s="34"/>
      <c r="AB45" s="34"/>
      <c r="AC45" s="34"/>
      <c r="AD45" s="34"/>
      <c r="AE45" s="34"/>
      <c r="AF45" s="34"/>
      <c r="AG45" s="34"/>
      <c r="AH45" s="34"/>
      <c r="AI45" s="34"/>
      <c r="AJ45" s="17"/>
      <c r="AK45" s="17"/>
      <c r="AL45" s="17"/>
      <c r="AM45" s="17"/>
      <c r="AN45" s="34"/>
      <c r="AO45" s="34"/>
      <c r="AP45" s="34"/>
      <c r="AQ45" s="34"/>
      <c r="AR45" s="34"/>
      <c r="AS45" s="34"/>
      <c r="AT45" s="34"/>
      <c r="AU45" s="34"/>
      <c r="AV45" s="34"/>
      <c r="AW45" s="34"/>
      <c r="AX45" s="34"/>
      <c r="AY45" s="34"/>
      <c r="AZ45" s="34"/>
      <c r="BA45" s="17"/>
      <c r="BB45" s="17"/>
      <c r="BC45" s="17"/>
      <c r="BD45" s="17"/>
      <c r="BE45" s="34"/>
      <c r="BF45" s="34"/>
      <c r="BG45" s="34"/>
      <c r="BH45" s="34"/>
      <c r="BI45" s="34"/>
      <c r="BJ45" s="34"/>
      <c r="BK45" s="34"/>
      <c r="BL45" s="34"/>
      <c r="BM45" s="34"/>
      <c r="BN45" s="34"/>
      <c r="BO45" s="34"/>
      <c r="BP45" s="34"/>
      <c r="BQ45" s="34"/>
      <c r="BR45" s="17"/>
      <c r="BS45" s="17"/>
      <c r="BT45" s="17"/>
      <c r="BU45" s="17"/>
      <c r="BV45" s="34"/>
      <c r="BW45" s="34"/>
      <c r="BX45" s="34"/>
      <c r="BY45" s="34"/>
      <c r="BZ45" s="34"/>
      <c r="CA45" s="34"/>
      <c r="CB45" s="34"/>
      <c r="CC45" s="34"/>
      <c r="CD45" s="34"/>
      <c r="CE45" s="34"/>
      <c r="CF45" s="34"/>
      <c r="CG45" s="34"/>
      <c r="CH45" s="34"/>
      <c r="CI45" s="17"/>
      <c r="CJ45" s="17"/>
      <c r="CK45" s="17"/>
      <c r="CL45" s="17"/>
      <c r="CM45" s="22"/>
      <c r="CN45" s="11"/>
    </row>
    <row r="46" spans="1:92" ht="15" customHeight="1" x14ac:dyDescent="0.25">
      <c r="A46" s="11"/>
      <c r="B46" s="23"/>
      <c r="C46" s="24"/>
      <c r="D46" s="24"/>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c r="AF46" s="24"/>
      <c r="AG46" s="24"/>
      <c r="AH46" s="24"/>
      <c r="AI46" s="24"/>
      <c r="AJ46" s="24"/>
      <c r="AK46" s="24"/>
      <c r="AL46" s="24"/>
      <c r="AM46" s="24"/>
      <c r="AN46" s="24"/>
      <c r="AO46" s="24"/>
      <c r="AP46" s="24"/>
      <c r="AQ46" s="24"/>
      <c r="AR46" s="24"/>
      <c r="AS46" s="24"/>
      <c r="AT46" s="24"/>
      <c r="AU46" s="24"/>
      <c r="AV46" s="24"/>
      <c r="AW46" s="24"/>
      <c r="AX46" s="24"/>
      <c r="AY46" s="24"/>
      <c r="AZ46" s="24"/>
      <c r="BA46" s="24"/>
      <c r="BB46" s="24"/>
      <c r="BC46" s="24"/>
      <c r="BD46" s="24"/>
      <c r="BE46" s="24"/>
      <c r="BF46" s="24"/>
      <c r="BG46" s="24"/>
      <c r="BH46" s="24"/>
      <c r="BI46" s="24"/>
      <c r="BJ46" s="24"/>
      <c r="BK46" s="24"/>
      <c r="BL46" s="24"/>
      <c r="BM46" s="24"/>
      <c r="BN46" s="24"/>
      <c r="BO46" s="24"/>
      <c r="BP46" s="24"/>
      <c r="BQ46" s="24"/>
      <c r="BR46" s="24"/>
      <c r="BS46" s="24"/>
      <c r="BT46" s="24"/>
      <c r="BU46" s="24"/>
      <c r="BV46" s="24"/>
      <c r="BW46" s="24"/>
      <c r="BX46" s="24"/>
      <c r="BY46" s="24"/>
      <c r="BZ46" s="24"/>
      <c r="CA46" s="24"/>
      <c r="CB46" s="24"/>
      <c r="CC46" s="24"/>
      <c r="CD46" s="24"/>
      <c r="CE46" s="24"/>
      <c r="CF46" s="24"/>
      <c r="CG46" s="24"/>
      <c r="CH46" s="24"/>
      <c r="CI46" s="24"/>
      <c r="CJ46" s="24"/>
      <c r="CK46" s="24"/>
      <c r="CL46" s="24"/>
      <c r="CM46" s="25"/>
      <c r="CN46" s="11"/>
    </row>
    <row r="47" spans="1:92" ht="15" customHeight="1" x14ac:dyDescent="0.25">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c r="AN47" s="11"/>
      <c r="AO47" s="11"/>
      <c r="AP47" s="11"/>
      <c r="AQ47" s="11"/>
      <c r="AR47" s="11"/>
      <c r="AS47" s="11"/>
      <c r="AT47" s="11"/>
      <c r="AU47" s="11"/>
      <c r="AV47" s="11"/>
      <c r="AW47" s="11"/>
      <c r="AX47" s="11"/>
      <c r="AY47" s="11"/>
      <c r="AZ47" s="11"/>
      <c r="BA47" s="11"/>
      <c r="BB47" s="11"/>
      <c r="BC47" s="11"/>
      <c r="BD47" s="11"/>
      <c r="BE47" s="11"/>
      <c r="BF47" s="11"/>
      <c r="BG47" s="11"/>
      <c r="BH47" s="11"/>
      <c r="BI47" s="11"/>
      <c r="BJ47" s="11"/>
      <c r="BK47" s="11"/>
      <c r="BL47" s="11"/>
      <c r="BM47" s="11"/>
      <c r="BN47" s="11"/>
      <c r="BO47" s="11"/>
      <c r="BP47" s="11"/>
      <c r="BQ47" s="11"/>
      <c r="BR47" s="11"/>
      <c r="BS47" s="11"/>
      <c r="BT47" s="11"/>
      <c r="BU47" s="11"/>
      <c r="BV47" s="11"/>
      <c r="BW47" s="11"/>
      <c r="BX47" s="11"/>
      <c r="BY47" s="11"/>
      <c r="BZ47" s="11"/>
      <c r="CA47" s="11"/>
      <c r="CB47" s="11"/>
      <c r="CC47" s="11"/>
      <c r="CD47" s="11"/>
      <c r="CE47" s="11"/>
      <c r="CF47" s="11"/>
      <c r="CG47" s="11"/>
      <c r="CH47" s="11"/>
      <c r="CI47" s="11"/>
      <c r="CJ47" s="11"/>
      <c r="CK47" s="11"/>
      <c r="CL47" s="11"/>
      <c r="CM47" s="11"/>
      <c r="CN47" s="11"/>
    </row>
    <row r="48" spans="1:92" ht="15" customHeight="1" x14ac:dyDescent="0.25">
      <c r="A48" s="37" t="s">
        <v>772</v>
      </c>
      <c r="B48" s="37"/>
      <c r="C48" s="37"/>
      <c r="D48" s="37"/>
      <c r="E48" s="37"/>
      <c r="F48" s="37"/>
      <c r="G48" s="37"/>
      <c r="H48" s="37"/>
      <c r="I48" s="37"/>
      <c r="J48" s="37"/>
      <c r="K48" s="37"/>
      <c r="L48" s="37"/>
      <c r="M48" s="37"/>
      <c r="N48" s="37"/>
      <c r="O48" s="37"/>
      <c r="P48" s="37"/>
      <c r="Q48" s="37"/>
      <c r="R48" s="37"/>
      <c r="S48" s="37"/>
      <c r="T48" s="37"/>
      <c r="U48" s="37"/>
      <c r="V48" s="37"/>
      <c r="W48" s="37"/>
      <c r="X48" s="37"/>
      <c r="Y48" s="37"/>
      <c r="Z48" s="37"/>
      <c r="AA48" s="37"/>
      <c r="AB48" s="37"/>
      <c r="AC48" s="37"/>
      <c r="AD48" s="37"/>
      <c r="AE48" s="37"/>
      <c r="AF48" s="37"/>
      <c r="AG48" s="37"/>
      <c r="AH48" s="37"/>
      <c r="AI48" s="37"/>
      <c r="AJ48" s="37"/>
      <c r="AK48" s="37"/>
      <c r="AL48" s="37"/>
      <c r="AM48" s="37"/>
      <c r="AN48" s="37"/>
      <c r="AO48" s="37"/>
      <c r="AP48" s="37"/>
      <c r="AQ48" s="37"/>
      <c r="AR48" s="37"/>
      <c r="AS48" s="37"/>
      <c r="AT48" s="37"/>
      <c r="AU48" s="37"/>
      <c r="AV48" s="37"/>
      <c r="AW48" s="37"/>
      <c r="AX48" s="37"/>
      <c r="AY48" s="37"/>
      <c r="AZ48" s="37"/>
      <c r="BA48" s="37"/>
      <c r="BB48" s="37"/>
      <c r="BC48" s="37"/>
      <c r="BD48" s="37"/>
      <c r="BE48" s="37"/>
      <c r="BF48" s="37"/>
      <c r="BG48" s="37"/>
      <c r="BH48" s="37"/>
      <c r="BI48" s="37"/>
      <c r="BJ48" s="37"/>
      <c r="BK48" s="37"/>
      <c r="BL48" s="37"/>
      <c r="BM48" s="37"/>
      <c r="BN48" s="37"/>
      <c r="BO48" s="37"/>
      <c r="BP48" s="37"/>
      <c r="BQ48" s="37"/>
      <c r="BR48" s="37"/>
      <c r="BS48" s="37"/>
      <c r="BT48" s="37"/>
      <c r="BU48" s="37"/>
      <c r="BV48" s="37"/>
      <c r="BW48" s="37"/>
      <c r="BX48" s="37"/>
      <c r="BY48" s="37"/>
      <c r="BZ48" s="37"/>
      <c r="CA48" s="37"/>
      <c r="CB48" s="37"/>
      <c r="CC48" s="37"/>
      <c r="CD48" s="37"/>
      <c r="CE48" s="37"/>
      <c r="CF48" s="37"/>
      <c r="CG48" s="37"/>
      <c r="CH48" s="37"/>
      <c r="CI48" s="37"/>
      <c r="CJ48" s="37"/>
      <c r="CK48" s="37"/>
      <c r="CL48" s="37"/>
      <c r="CM48" s="37"/>
      <c r="CN48" s="11"/>
    </row>
    <row r="49" spans="1:92" ht="15" customHeight="1" x14ac:dyDescent="0.25">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1"/>
      <c r="AO49" s="11"/>
      <c r="AP49" s="11"/>
      <c r="AQ49" s="11"/>
      <c r="AR49" s="11"/>
      <c r="AS49" s="11"/>
      <c r="AT49" s="11"/>
      <c r="AU49" s="11"/>
      <c r="AV49" s="11"/>
      <c r="AW49" s="11"/>
      <c r="AX49" s="11"/>
      <c r="AY49" s="11"/>
      <c r="AZ49" s="11"/>
      <c r="BA49" s="11"/>
      <c r="BB49" s="11"/>
      <c r="BC49" s="11"/>
      <c r="BD49" s="11"/>
      <c r="BE49" s="11"/>
      <c r="BF49" s="11"/>
      <c r="BG49" s="11"/>
      <c r="BH49" s="11"/>
      <c r="BI49" s="11"/>
      <c r="BJ49" s="11"/>
      <c r="BK49" s="11"/>
      <c r="BL49" s="11"/>
      <c r="BM49" s="11"/>
      <c r="BN49" s="11"/>
      <c r="BO49" s="11"/>
      <c r="BP49" s="11"/>
      <c r="BQ49" s="11"/>
      <c r="BR49" s="11"/>
      <c r="BS49" s="11"/>
      <c r="BT49" s="11"/>
      <c r="BU49" s="11"/>
      <c r="BV49" s="11"/>
      <c r="BW49" s="11"/>
      <c r="BX49" s="11"/>
      <c r="BY49" s="11"/>
      <c r="BZ49" s="11"/>
      <c r="CA49" s="11"/>
      <c r="CB49" s="11"/>
      <c r="CC49" s="11"/>
      <c r="CD49" s="11"/>
      <c r="CE49" s="11"/>
      <c r="CF49" s="11"/>
      <c r="CG49" s="11"/>
      <c r="CH49" s="11"/>
      <c r="CI49" s="11"/>
      <c r="CJ49" s="11"/>
      <c r="CK49" s="11"/>
      <c r="CL49" s="11"/>
      <c r="CM49" s="11"/>
      <c r="CN49" s="11"/>
    </row>
  </sheetData>
  <mergeCells count="19">
    <mergeCell ref="A48:CM48"/>
    <mergeCell ref="A1:CN2"/>
    <mergeCell ref="A3:CN3"/>
    <mergeCell ref="B6:N6"/>
    <mergeCell ref="C42:E44"/>
    <mergeCell ref="F42:R43"/>
    <mergeCell ref="F44:R45"/>
    <mergeCell ref="T42:V44"/>
    <mergeCell ref="W42:AI43"/>
    <mergeCell ref="W44:AI45"/>
    <mergeCell ref="AK42:AM44"/>
    <mergeCell ref="BV42:CH43"/>
    <mergeCell ref="BV44:CH45"/>
    <mergeCell ref="AN42:AZ43"/>
    <mergeCell ref="AN44:AZ45"/>
    <mergeCell ref="BB42:BD44"/>
    <mergeCell ref="BE42:BQ43"/>
    <mergeCell ref="BE44:BQ45"/>
    <mergeCell ref="BS42:BU44"/>
  </mergeCells>
  <pageMargins left="0.7" right="0.7" top="0.75" bottom="0.75" header="0.3" footer="0.3"/>
  <pageSetup scale="46"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Data</vt:lpstr>
      <vt:lpstr>Pivots</vt:lpstr>
      <vt:lpstr>Dashboard</vt:lpstr>
      <vt:lpstr>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CHAITANYA KHURANA</cp:lastModifiedBy>
  <cp:lastPrinted>2026-07-08T15:12:29Z</cp:lastPrinted>
  <dcterms:created xsi:type="dcterms:W3CDTF">2026-07-08T09:47:31Z</dcterms:created>
  <dcterms:modified xsi:type="dcterms:W3CDTF">2026-07-08T15:40:55Z</dcterms:modified>
</cp:coreProperties>
</file>